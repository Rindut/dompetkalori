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991364137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ggaran" sheetId="1" r:id="R5b2373d2f9da457e"/>
    <x:sheet xmlns:r="http://schemas.openxmlformats.org/officeDocument/2006/relationships" name="Aturan dan sumber" sheetId="2" r:id="R50b58991d1a1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72B22"/>
      <x:name val="Arial"/>
    </x:font>
    <x:font>
      <x:sz val="10"/>
      <x:color rgb="FF63746B"/>
      <x:name val="Arial"/>
    </x:font>
    <x:font>
      <x:b/>
      <x:sz val="10"/>
      <x:color rgb="FFFFFFFF"/>
      <x:name val="Arial"/>
    </x:font>
    <x:font>
      <x:sz val="10"/>
      <x:color rgb="FF172B22"/>
      <x:name val="Arial"/>
    </x:font>
    <x:font>
      <x:b/>
      <x:sz val="10"/>
      <x:color rgb="FF172B22"/>
      <x:name val="Arial"/>
    </x:font>
    <x:font>
      <x:b/>
      <x:sz val="12"/>
      <x:color rgb="FF145D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9"/>
      </x:patternFill>
    </x:fill>
    <x:fill>
      <x:patternFill patternType="solid">
        <x:fgColor rgb="FF145D44"/>
      </x:patternFill>
    </x:fill>
    <x:fill>
      <x:patternFill patternType="solid">
        <x:fgColor rgb="FFDDEF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b6d5adb714b75" /><Relationship Type="http://schemas.openxmlformats.org/officeDocument/2006/relationships/theme" Target="/xl/theme/theme1.xml" Id="Ra09d69e0492b4a33" /><Relationship Type="http://schemas.openxmlformats.org/officeDocument/2006/relationships/sharedStrings" Target="/xl/sharedStrings.xml" Id="Rb3e3abe4207b45d9" /><Relationship Type="http://schemas.openxmlformats.org/officeDocument/2006/relationships/worksheet" Target="/xl/worksheets/sheet1.xml" Id="R5b2373d2f9da457e" /><Relationship Type="http://schemas.openxmlformats.org/officeDocument/2006/relationships/worksheet" Target="/xl/worksheets/sheet2.xml" Id="R50b58991d1a1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5D44"/>
  </x:sheetPr>
  <x:sheetViews>
    <x:sheetView showGridLines="0" workbookViewId="0"/>
  </x:sheetViews>
  <x:sheetFormatPr defaultRowHeight="15"/>
  <x:cols>
    <x:col min="1" max="1" width="39" hidden="0" customWidth="1"/>
    <x:col min="2" max="2" width="34" hidden="0" customWidth="1"/>
    <x:col min="3" max="3" width="58" hidden="0" customWidth="1"/>
  </x:cols>
  <x:sheetData>
    <x:row r="2">
      <x:c r="A2" s="1" t="str">
        <x:v>Metode anggaran harian BPK</x:v>
      </x:c>
    </x:row>
    <x:row r="3">
      <x:c r="A3" s="2" t="str">
        <x:v>Contoh fiktif. Ubah sel kuning untuk mencoba profil dan tujuan.</x:v>
      </x:c>
    </x:row>
    <x:row r="5" ht="28" customHeight="1">
      <x:c r="A5" s="5" t="str">
        <x:v>Input profil</x:v>
      </x:c>
      <x:c r="B5" s="5" t="str">
        <x:v>Nilai</x:v>
      </x:c>
      <x:c r="C5" s="5" t="str">
        <x:v>Keterangan</x:v>
      </x:c>
    </x:row>
    <x:row r="6" ht="28" customHeight="1">
      <x:c r="A6" s="6" t="str">
        <x:v>Usia (tahun)</x:v>
      </x:c>
      <x:c r="B6" s="7" t="n">
        <x:v>30</x:v>
      </x:c>
      <x:c r="C6" s="6" t="str">
        <x:v>Usulan otomatis untuk dewasa 18–79 tahun</x:v>
      </x:c>
    </x:row>
    <x:row r="7" ht="28" customHeight="1">
      <x:c r="A7" s="6" t="str">
        <x:v>Jenis untuk koefisien rumus</x:v>
      </x:c>
      <x:c r="B7" s="7" t="str">
        <x:v>Perempuan</x:v>
      </x:c>
      <x:c r="C7" s="6" t="str">
        <x:v>Jika tidak dipilih, tidak ada hitung otomatis</x:v>
      </x:c>
    </x:row>
    <x:row r="8" ht="28" customHeight="1">
      <x:c r="A8" s="6" t="str">
        <x:v>Aktivitas</x:v>
      </x:c>
      <x:c r="B8" s="7" t="str">
        <x:v>Rendah</x:v>
      </x:c>
      <x:c r="C8" s="6" t="str">
        <x:v>Rendah 1,4; ringan 1,6; aktif 1,8</x:v>
      </x:c>
    </x:row>
    <x:row r="9" ht="28" customHeight="1">
      <x:c r="A9" s="6" t="str">
        <x:v>Berat (kg)</x:v>
      </x:c>
      <x:c r="B9" s="7" t="n">
        <x:v>70</x:v>
      </x:c>
      <x:c r="C9" s="6" t="str">
        <x:v>Berat saat ini</x:v>
      </x:c>
    </x:row>
    <x:row r="10" ht="28" customHeight="1">
      <x:c r="A10" s="6" t="str">
        <x:v>Tinggi (cm)</x:v>
      </x:c>
      <x:c r="B10" s="7" t="n">
        <x:v>170</x:v>
      </x:c>
      <x:c r="C10" s="6" t="str">
        <x:v>Tinggi saat ini</x:v>
      </x:c>
    </x:row>
    <x:row r="11" ht="28" customHeight="1">
      <x:c r="A11" s="6" t="str">
        <x:v>Hamil</x:v>
      </x:c>
      <x:c r="B11" s="7" t="str">
        <x:v>Tidak</x:v>
      </x:c>
      <x:c r="C11" s="6" t="str">
        <x:v>Jika Ya, tidak ada hitung otomatis</x:v>
      </x:c>
    </x:row>
    <x:row r="12" ht="28" customHeight="1">
      <x:c r="A12" s="6" t="str">
        <x:v>Menyusui</x:v>
      </x:c>
      <x:c r="B12" s="7" t="str">
        <x:v>Tidak</x:v>
      </x:c>
      <x:c r="C12" s="6" t="str">
        <x:v>Jika Ya, tidak ada hitung otomatis</x:v>
      </x:c>
    </x:row>
    <x:row r="13" ht="28" customHeight="1">
      <x:c r="A13" s="6" t="str">
        <x:v>Tujuan</x:v>
      </x:c>
      <x:c r="B13" s="7" t="str">
        <x:v>Turun bertahap</x:v>
      </x:c>
      <x:c r="C13" s="6" t="str">
        <x:v>Pilihan: Jaga berat / Turun bertahap</x:v>
      </x:c>
    </x:row>
    <x:row r="14" ht="28" customHeight="1">
      <x:c r="A14" s="6"/>
      <x:c r="B14" s="6"/>
      <x:c r="C14" s="6"/>
    </x:row>
    <x:row r="15" ht="28" customHeight="1">
      <x:c r="A15" s="5" t="str">
        <x:v>Hasil</x:v>
      </x:c>
      <x:c r="B15" s="5" t="str">
        <x:v>Nilai</x:v>
      </x:c>
      <x:c r="C15" s="5" t="str">
        <x:v>Arti</x:v>
      </x:c>
    </x:row>
    <x:row r="16" ht="28" customHeight="1">
      <x:c r="A16" s="6" t="str">
        <x:v>Status</x:v>
      </x:c>
      <x:c r="B16" s="6" t="str">
        <x:f>IF(OR(B6&lt;18,B6&gt;79,B9&lt;=0,B10&lt;=0,B11="Ya",B12="Ya",B7="Tidak ingin menyebutkan"),"Perlu anggaran manual/tenaga kesehatan","Dapat dihitung")</x:f>
        <x:v>Dapat dihitung</x:v>
      </x:c>
      <x:c r="C16" s="6"/>
    </x:row>
    <x:row r="17" ht="28" customHeight="1">
      <x:c r="A17" s="6" t="str">
        <x:v>Energi istirahat (kkal/hari)</x:v>
      </x:c>
      <x:c r="B17" s="6" t="n">
        <x:f>IF(B16&lt;&gt;"Dapat dihitung","",10*B9+6.25*B10-5*B6+IF(B7="Laki-laki",5,-161))</x:f>
        <x:v>1451.5</x:v>
      </x:c>
      <x:c r="C17" s="6" t="str">
        <x:v>Rumus Mifflin–St Jeor; estimasi, bukan pengukuran</x:v>
      </x:c>
    </x:row>
    <x:row r="18" ht="28" customHeight="1">
      <x:c r="A18" s="6" t="str">
        <x:v>Faktor aktivitas</x:v>
      </x:c>
      <x:c r="B18" s="6" t="n">
        <x:f>IF(B8="Rendah",1.4,IF(B8="Ringan",1.6,IF(B8="Aktif",1.8,"")))</x:f>
        <x:v>1.4</x:v>
      </x:c>
      <x:c r="C18" s="6" t="str">
        <x:v>Pilihan produk dalam rentang PAL NIDDK</x:v>
      </x:c>
    </x:row>
    <x:row r="19" ht="28" customHeight="1">
      <x:c r="A19" s="6" t="str">
        <x:v>Estimasi jaga berat (kkal/hari)</x:v>
      </x:c>
      <x:c r="B19" s="6" t="n">
        <x:f>IF(OR(B17="",B18=""),"",ROUND(B17*B18,0))</x:f>
        <x:v>2032</x:v>
      </x:c>
      <x:c r="C19" s="6" t="str">
        <x:v>Energi istirahat × faktor aktivitas</x:v>
      </x:c>
    </x:row>
    <x:row r="20" ht="28" customHeight="1">
      <x:c r="A20" s="6" t="str">
        <x:v>Pengurangan untuk turun (kkal/hari)</x:v>
      </x:c>
      <x:c r="B20" s="6" t="n">
        <x:f>IF(B19="","",ROUND(MIN(B19*10%,300),0))</x:f>
        <x:v>203</x:v>
      </x:c>
      <x:c r="C20" s="6" t="str">
        <x:v>Kebijakan produk: 10% dengan batas 300</x:v>
      </x:c>
    </x:row>
    <x:row r="21" ht="28" customHeight="1">
      <x:c r="A21" s="6" t="str">
        <x:v>Usulan anggaran (kkal/hari)</x:v>
      </x:c>
      <x:c r="B21" s="10" t="n">
        <x:f>IF(B19="","",IF(B13="Jaga berat",B19,IF(B19-B20&lt;1200,"Perlu tinjauan",B19-B20)))</x:f>
        <x:v>1829</x:v>
      </x:c>
      <x:c r="C21" s="6" t="str">
        <x:v>Tidak memberi angka otomatis jika usulan &lt;1.200</x:v>
      </x:c>
    </x:row>
    <x:row r="22">
      <x:c r="A22" s="6"/>
      <x:c r="B22" s="6"/>
      <x:c r="C22" s="6"/>
    </x:row>
    <x:row r="23" ht="25" customHeight="1">
      <x:c r="A23" s="6" t="str">
        <x:v>Contoh ini menghasilkan sekitar 2.032 kkal untuk jaga berat dan 1.829 kkal untuk turun bertahap.</x:v>
      </x:c>
      <x:c r="B23" s="6"/>
      <x:c r="C23" s="6"/>
    </x:row>
    <x:row r="24" ht="25" customHeight="1">
      <x:c r="A24" s="6" t="str">
        <x:v>Angka riil dapat berbeda. Pengguna tetap bebas mencatat di atas anggaran.</x:v>
      </x:c>
      <x:c r="B24" s="6"/>
      <x:c r="C24" s="6"/>
    </x:row>
    <x:row r="25" ht="25" customHeight="1">
      <x:c r="A25" s="6"/>
      <x:c r="B25" s="6"/>
      <x:c r="C25" s="6"/>
    </x:row>
    <x:row r="26" ht="25" customHeight="1">
      <x:c r="A26" s="6" t="str">
        <x:v>Keputusan kerja v1: jaga berat dan turun bertahap. Perlu review ahli gizi sebelum dipakai sebagai rekomendasi publik.</x:v>
      </x:c>
      <x:c r="B26" s="6"/>
      <x:c r="C26" s="6"/>
    </x:row>
  </x:sheetData>
  <x:dataValidations count="4">
    <x:dataValidation type="list" sqref="B7">
      <x:formula1>"Perempuan,Laki-laki,Tidak ingin menyebutkan"</x:formula1>
    </x:dataValidation>
    <x:dataValidation type="list" sqref="B8">
      <x:formula1>"Rendah,Ringan,Aktif"</x:formula1>
    </x:dataValidation>
    <x:dataValidation type="list" sqref="B11:B12">
      <x:formula1>"Tidak,Ya"</x:formula1>
    </x:dataValidation>
    <x:dataValidation type="list" sqref="B13">
      <x:formula1>"Jaga berat,Turun bertahap"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79C86"/>
  </x:sheetPr>
  <x:sheetViews>
    <x:sheetView showGridLines="0" workbookViewId="0"/>
  </x:sheetViews>
  <x:sheetFormatPr defaultRowHeight="15"/>
  <x:cols>
    <x:col min="1" max="1" width="30" hidden="0" customWidth="1"/>
    <x:col min="2" max="2" width="74" hidden="0" customWidth="1"/>
    <x:col min="3" max="3" width="85" hidden="0" customWidth="1"/>
  </x:cols>
  <x:sheetData>
    <x:row r="2">
      <x:c r="A2" s="1" t="str">
        <x:v>Aturan dan sumber</x:v>
      </x:c>
    </x:row>
    <x:row r="4" ht="28" customHeight="1">
      <x:c r="A4" s="5" t="str">
        <x:v>Bagian</x:v>
      </x:c>
      <x:c r="B4" s="5" t="str">
        <x:v>Aturan kerja</x:v>
      </x:c>
      <x:c r="C4" s="5" t="str">
        <x:v>Dasar / batas</x:v>
      </x:c>
    </x:row>
    <x:row r="5" ht="54" customHeight="1">
      <x:c r="A5" s="11" t="str">
        <x:v>Cakupan</x:v>
      </x:c>
      <x:c r="B5" s="11" t="str">
        <x:v>Usia 18–79, tidak hamil/menyusui, koefisien rumus dipilih</x:v>
      </x:c>
      <x:c r="C5" s="11" t="str">
        <x:v>Pembatasan 79 tahun adalah kebijakan produk; studi Mifflin mencakup dewasa 19–78. NIDDK membatasi planner ke dewasa nonhamil/nonmenyusui.</x:v>
      </x:c>
    </x:row>
    <x:row r="6" ht="54" customHeight="1">
      <x:c r="A6" s="11" t="str">
        <x:v>Energi istirahat</x:v>
      </x:c>
      <x:c r="B6" s="11" t="str">
        <x:v>Laki-laki: 10×kg + 6,25×cm − 5×usia + 5. Perempuan: 10×kg + 6,25×cm − 5×usia − 161.</x:v>
      </x:c>
      <x:c r="C6" s="11" t="str">
        <x:v>Mifflin dkk. 1990, PubMed PMID 2305711. Formula hanya estimasi energi saat istirahat.</x:v>
      </x:c>
    </x:row>
    <x:row r="7" ht="54" customHeight="1">
      <x:c r="A7" s="11" t="str">
        <x:v>Aktivitas</x:v>
      </x:c>
      <x:c r="B7" s="11" t="str">
        <x:v>Rendah 1,4; ringan 1,6; aktif 1,8.</x:v>
      </x:c>
      <x:c r="C7" s="11" t="str">
        <x:v>Pilihan produk dalam rentang PAL 1,4–2,5 yang disebut NIDDK. Pemetaan kategori perlu uji pengguna.</x:v>
      </x:c>
    </x:row>
    <x:row r="8" ht="54" customHeight="1">
      <x:c r="A8" s="11" t="str">
        <x:v>Jaga berat</x:v>
      </x:c>
      <x:c r="B8" s="11" t="str">
        <x:v>Bulatkan energi istirahat × PAL ke kkal utuh.</x:v>
      </x:c>
      <x:c r="C8" s="11" t="str">
        <x:v>Estimasi kebutuhan, bukan jaminan berat akan stabil.</x:v>
      </x:c>
    </x:row>
    <x:row r="9" ht="54" customHeight="1">
      <x:c r="A9" s="11" t="str">
        <x:v>Turun bertahap</x:v>
      </x:c>
      <x:c r="B9" s="11" t="str">
        <x:v>Kurangi 10% dari angka jaga berat, maksimum 300 kkal/hari.</x:v>
      </x:c>
      <x:c r="C9" s="11" t="str">
        <x:v>Ini kebijakan konservatif BPK, bukan angka yang disalin dari NIH. Perlu tinjauan ahli gizi.</x:v>
      </x:c>
    </x:row>
    <x:row r="10" ht="54" customHeight="1">
      <x:c r="A10" s="11" t="str">
        <x:v>Batas rendah</x:v>
      </x:c>
      <x:c r="B10" s="11" t="str">
        <x:v>Jika usulan &lt;1.200 kkal/hari, jangan tampilkan target otomatis.</x:v>
      </x:c>
      <x:c r="C10" s="11" t="str">
        <x:v>1.200 dipakai sebagai pagar minimum operasional, bukan bukti bahwa semua angka di atasnya aman untuk semua orang.</x:v>
      </x:c>
    </x:row>
    <x:row r="11" ht="54" customHeight="1">
      <x:c r="A11" s="11" t="str">
        <x:v>Perubahan profil</x:v>
      </x:c>
      <x:c r="B11" s="11" t="str">
        <x:v>Anggaran baru berlaku sejak tanggal perubahan; anggaran historis tetap tersimpan.</x:v>
      </x:c>
      <x:c r="C11" s="11" t="str">
        <x:v>Keputusan data agar riwayat dompet tidak berubah diam-diam.</x:v>
      </x:c>
    </x:row>
    <x:row r="12" ht="54" customHeight="1">
      <x:c r="A12" s="11" t="str">
        <x:v>Saldo</x:v>
      </x:c>
      <x:c r="B12" s="11" t="str">
        <x:v>Terpakai = jumlah catatan tersimpan; sisa = anggaran tanggal itu − terpakai.</x:v>
      </x:c>
      <x:c r="C12" s="11" t="str">
        <x:v>Saldo boleh negatif dan tetap bisa mencatat; ini aturan produk BPK.</x:v>
      </x:c>
    </x:row>
    <x:row r="13">
      <x:c r="A13" s="6"/>
      <x:c r="B13" s="6"/>
      <x:c r="C13" s="6"/>
    </x:row>
    <x:row r="14">
      <x:c r="A14" s="6"/>
      <x:c r="B14" s="6"/>
      <x:c r="C14" s="6"/>
    </x:row>
    <x:row r="15" ht="28" customHeight="1">
      <x:c r="A15" s="5" t="str">
        <x:v>Sumber</x:v>
      </x:c>
      <x:c r="B15" s="5" t="str">
        <x:v>URL</x:v>
      </x:c>
      <x:c r="C15" s="6"/>
    </x:row>
    <x:row r="16" ht="34" customHeight="1">
      <x:c r="A16" s="6" t="str">
        <x:v>Mifflin dkk. 1990</x:v>
      </x:c>
      <x:c r="B16" s="11" t="str">
        <x:v>https://pubmed.ncbi.nlm.nih.gov/2305711/</x:v>
      </x:c>
      <x:c r="C16" s="6"/>
    </x:row>
    <x:row r="17" ht="34" customHeight="1">
      <x:c r="A17" s="6" t="str">
        <x:v>NIDDK Body Weight Planner</x:v>
      </x:c>
      <x:c r="B17" s="11" t="str">
        <x:v>https://www.niddk.nih.gov/bwp</x:v>
      </x:c>
      <x:c r="C17" s="6"/>
    </x:row>
    <x:row r="18" ht="34" customHeight="1">
      <x:c r="A18" s="6" t="str">
        <x:v>NIDDK cakupan pengguna</x:v>
      </x:c>
      <x:c r="B18" s="11" t="str">
        <x:v>https://www.niddk.nih.gov/health-information/weight-management/body-weight-planner</x:v>
      </x:c>
      <x:c r="C18" s="6"/>
    </x:row>
    <x:row r="19" ht="34" customHeight="1">
      <x:c r="A19" s="6" t="str">
        <x:v>NHLBI energi dan berat badan</x:v>
      </x:c>
      <x:c r="B19" s="11" t="str">
        <x:v>https://www.nhlbi.nih.gov/sites/default/files/media/docs/obesity-evidence-review.pdf</x:v>
      </x:c>
      <x:c r="C19" s="6"/>
    </x:row>
    <x:row r="20">
      <x:c r="A20" s="6"/>
      <x:c r="B20" s="6"/>
      <x:c r="C20" s="6"/>
    </x:row>
    <x:row r="21" ht="38" customHeight="1">
      <x:c r="A21" s="6" t="str">
        <x:v>Sebelum rilis publik</x:v>
      </x:c>
      <x:c r="B21" s="11" t="str">
        <x:v>Minta peninjauan ahli gizi/klinis untuk pilihan defisit, batas aman, bahasa onboarding, serta pengguna dengan kondisi khusus.</x:v>
      </x:c>
      <x:c r="C21" s="6"/>
    </x:row>
  </x:sheetData>
  <x:pageMargins left="0.7" right="0.7" top="0.75" bottom="0.75" header="0.3" footer="0.3"/>
</x:worksheet>
</file>