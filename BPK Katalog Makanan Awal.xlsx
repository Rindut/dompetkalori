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f58c4b2c2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talog awal" sheetId="1" r:id="R62404576866846c8"/>
    <x:sheet xmlns:r="http://schemas.openxmlformats.org/officeDocument/2006/relationships" name="Celah katalog" sheetId="2" r:id="R4fe9b88c46f7407c"/>
    <x:sheet xmlns:r="http://schemas.openxmlformats.org/officeDocument/2006/relationships" name="Acuan porsi" sheetId="3" r:id="Rdda7ac6ae28d48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22"/>
      <x:name val="Arial"/>
    </x:font>
    <x:font>
      <x:b/>
      <x:sz val="10"/>
      <x:color rgb="FFFFFFFF"/>
      <x:name val="Arial"/>
    </x:font>
    <x:font>
      <x:b/>
      <x:sz val="15"/>
      <x:color rgb="FF172B22"/>
      <x:name val="Arial"/>
    </x:font>
    <x:font>
      <x:sz val="10"/>
      <x:color rgb="FF63746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45D44"/>
      </x:patternFill>
    </x:fill>
    <x:fill>
      <x:patternFill patternType="solid">
        <x:fgColor rgb="FFFFF1C9"/>
      </x:patternFill>
    </x:fill>
    <x:fill>
      <x:patternFill patternType="solid">
        <x:fgColor rgb="FF145D44"/>
      </x:patternFill>
    </x:fill>
    <x:fill>
      <x:patternFill patternType="solid">
        <x:fgColor rgb="FFFFF1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50c4da79f740f8" /><Relationship Type="http://schemas.openxmlformats.org/officeDocument/2006/relationships/theme" Target="/xl/theme/theme1.xml" Id="R60673b02312b4ea2" /><Relationship Type="http://schemas.openxmlformats.org/officeDocument/2006/relationships/sharedStrings" Target="/xl/sharedStrings.xml" Id="R7669b40737174f63" /><Relationship Type="http://schemas.openxmlformats.org/officeDocument/2006/relationships/worksheet" Target="/xl/worksheets/sheet1.xml" Id="R62404576866846c8" /><Relationship Type="http://schemas.openxmlformats.org/officeDocument/2006/relationships/worksheet" Target="/xl/worksheets/sheet2.xml" Id="R4fe9b88c46f7407c" /><Relationship Type="http://schemas.openxmlformats.org/officeDocument/2006/relationships/worksheet" Target="/xl/worksheets/sheet3.xml" Id="Rdda7ac6ae28d488f" /></Relationships>
</file>

<file path=xl/tables/table1.xml><?xml version="1.0" encoding="utf-8"?>
<x:table xmlns:x="http://schemas.openxmlformats.org/spreadsheetml/2006/main" id="1" name="KatalogAwal" displayName="KatalogAwal" ref="A1:N29" headerRowCount="1" totalsRowCount="0" totalsRowShown="0">
  <x:autoFilter ref="A1:N29"/>
  <x:tableColumns count="14">
    <x:tableColumn id="1" name="Kode TKPI"/>
    <x:tableColumn id="2" name="Nama makanan"/>
    <x:tableColumn id="3" name="Kios sementara"/>
    <x:tableColumn id="4" name="kkal per 100 g BDD"/>
    <x:tableColumn id="5" name="Halaman PDF"/>
    <x:tableColumn id="6" name="Alias awal"/>
    <x:tableColumn id="7" name="Gram kecil"/>
    <x:tableColumn id="8" name="Gram sedang"/>
    <x:tableColumn id="9" name="Gram besar"/>
    <x:tableColumn id="10" name="kkal kecil"/>
    <x:tableColumn id="11" name="kkal sedang"/>
    <x:tableColumn id="12" name="kkal besar"/>
    <x:tableColumn id="13" name="Status porsi"/>
    <x:tableColumn id="14" name="Su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0f5f80aa5c455a" /></Relationships>
</file>

<file path=xl/worksheets/sheet1.xml><?xml version="1.0" encoding="utf-8"?>
<x:worksheet xmlns:x="http://schemas.openxmlformats.org/spreadsheetml/2006/main">
  <x:sheetPr>
    <x:tabColor rgb="FF145D4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21" hidden="0" customWidth="1"/>
    <x:col min="4" max="4" width="18" hidden="0" customWidth="1"/>
    <x:col min="5" max="5" width="18" hidden="0" customWidth="1"/>
    <x:col min="6" max="6" width="27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2" hidden="0" customWidth="1"/>
    <x:col min="14" max="14" width="40" hidden="0" customWidth="1"/>
  </x:cols>
  <x:sheetData>
    <x:row r="1" ht="34" customHeight="1">
      <x:c r="A1" s="4" t="str">
        <x:v>Kode TKPI</x:v>
      </x:c>
      <x:c r="B1" s="4" t="str">
        <x:v>Nama makanan</x:v>
      </x:c>
      <x:c r="C1" s="4" t="str">
        <x:v>Kios sementara</x:v>
      </x:c>
      <x:c r="D1" s="4" t="str">
        <x:v>kkal per 100 g BDD</x:v>
      </x:c>
      <x:c r="E1" s="4" t="str">
        <x:v>Halaman PDF</x:v>
      </x:c>
      <x:c r="F1" s="4" t="str">
        <x:v>Alias awal</x:v>
      </x:c>
      <x:c r="G1" s="4" t="str">
        <x:v>Gram kecil</x:v>
      </x:c>
      <x:c r="H1" s="4" t="str">
        <x:v>Gram sedang</x:v>
      </x:c>
      <x:c r="I1" s="4" t="str">
        <x:v>Gram besar</x:v>
      </x:c>
      <x:c r="J1" s="4" t="str">
        <x:v>kkal kecil</x:v>
      </x:c>
      <x:c r="K1" s="4" t="str">
        <x:v>kkal sedang</x:v>
      </x:c>
      <x:c r="L1" s="4" t="str">
        <x:v>kkal besar</x:v>
      </x:c>
      <x:c r="M1" s="4" t="str">
        <x:v>Status porsi</x:v>
      </x:c>
      <x:c r="N1" s="4" t="str">
        <x:v>Sumber</x:v>
      </x:c>
    </x:row>
    <x:row r="2" ht="29" customHeight="1">
      <x:c r="A2" s="1" t="str">
        <x:v>AP001</x:v>
      </x:c>
      <x:c r="B2" s="1" t="str">
        <x:v>Nasi</x:v>
      </x:c>
      <x:c r="C2" s="1" t="str">
        <x:v>Warteg</x:v>
      </x:c>
      <x:c r="D2" s="1" t="n">
        <x:v>180</x:v>
      </x:c>
      <x:c r="E2" s="1" t="n">
        <x:v>17</x:v>
      </x:c>
      <x:c r="F2" s="1" t="str">
        <x:v>nasi putih</x:v>
      </x:c>
      <x:c r="G2" s="5" t="n">
        <x:v>75</x:v>
      </x:c>
      <x:c r="H2" s="5" t="n">
        <x:v>100</x:v>
      </x:c>
      <x:c r="I2" s="5" t="n">
        <x:v>150</x:v>
      </x:c>
      <x:c r="J2" s="1" t="n">
        <x:f>IF(G2="","",ROUND(D2*G2/100,0))</x:f>
        <x:v>135</x:v>
      </x:c>
      <x:c r="K2" s="1" t="n">
        <x:f>IF(H2="","",ROUND(D2*H2/100,0))</x:f>
        <x:v>180</x:v>
      </x:c>
      <x:c r="L2" s="1" t="n">
        <x:f>IF(I2="","",ROUND(D2*I2/100,0))</x:f>
        <x:v>270</x:v>
      </x:c>
      <x:c r="M2" s="5" t="str">
        <x:v>Anchor sedang; variasi perlu timbang</x:v>
      </x:c>
      <x:c r="N2" s="1" t="str">
        <x:v>https://lib.poltekkespalembang.ac.id/index.php?bid=15003&amp;fid=94&amp;p=fstream-pdf</x:v>
      </x:c>
    </x:row>
    <x:row r="3" ht="29" customHeight="1">
      <x:c r="A3" s="1" t="str">
        <x:v>DP047</x:v>
      </x:c>
      <x:c r="B3" s="1" t="str">
        <x:v>Sayur asem</x:v>
      </x:c>
      <x:c r="C3" s="1" t="str">
        <x:v>Warteg</x:v>
      </x:c>
      <x:c r="D3" s="1" t="n">
        <x:v>29</x:v>
      </x:c>
      <x:c r="E3" s="1" t="n">
        <x:v>42</x:v>
      </x:c>
      <x:c r="F3" s="1" t="str">
        <x:v>sayur asam</x:v>
      </x:c>
      <x:c r="G3" s="5"/>
      <x:c r="H3" s="5"/>
      <x:c r="I3" s="5"/>
      <x:c r="J3" s="1" t="str">
        <x:f>IF(G3="","",ROUND(D3*G3/100,0))</x:f>
      </x:c>
      <x:c r="K3" s="1" t="str">
        <x:f>IF(H3="","",ROUND(D3*H3/100,0))</x:f>
      </x:c>
      <x:c r="L3" s="1" t="str">
        <x:f>IF(I3="","",ROUND(D3*I3/100,0))</x:f>
      </x:c>
      <x:c r="M3" s="5" t="str">
        <x:v>Perlu ukur porsi</x:v>
      </x:c>
      <x:c r="N3" s="1" t="str">
        <x:v>https://lib.poltekkespalembang.ac.id/index.php?bid=15003&amp;fid=94&amp;p=fstream-pdf</x:v>
      </x:c>
    </x:row>
    <x:row r="4" ht="29" customHeight="1">
      <x:c r="A4" s="1" t="str">
        <x:v>DP053</x:v>
      </x:c>
      <x:c r="B4" s="1" t="str">
        <x:v>Sayur sop</x:v>
      </x:c>
      <x:c r="C4" s="1" t="str">
        <x:v>Warteg</x:v>
      </x:c>
      <x:c r="D4" s="1" t="n">
        <x:v>27</x:v>
      </x:c>
      <x:c r="E4" s="1" t="n">
        <x:v>43</x:v>
      </x:c>
      <x:c r="F4" s="1" t="str">
        <x:v>sup sayur</x:v>
      </x:c>
      <x:c r="G4" s="5"/>
      <x:c r="H4" s="5"/>
      <x:c r="I4" s="5"/>
      <x:c r="J4" s="1" t="str">
        <x:f>IF(G4="","",ROUND(D4*G4/100,0))</x:f>
      </x:c>
      <x:c r="K4" s="1" t="str">
        <x:f>IF(H4="","",ROUND(D4*H4/100,0))</x:f>
      </x:c>
      <x:c r="L4" s="1" t="str">
        <x:f>IF(I4="","",ROUND(D4*I4/100,0))</x:f>
      </x:c>
      <x:c r="M4" s="5" t="str">
        <x:v>Perlu ukur porsi</x:v>
      </x:c>
      <x:c r="N4" s="1" t="str">
        <x:v>https://lib.poltekkespalembang.ac.id/index.php?bid=15003&amp;fid=94&amp;p=fstream-pdf</x:v>
      </x:c>
    </x:row>
    <x:row r="5" ht="29" customHeight="1">
      <x:c r="A5" s="1" t="str">
        <x:v>CP062</x:v>
      </x:c>
      <x:c r="B5" s="1" t="str">
        <x:v>Tahu goreng</x:v>
      </x:c>
      <x:c r="C5" s="1" t="str">
        <x:v>Warteg</x:v>
      </x:c>
      <x:c r="D5" s="1" t="n">
        <x:v>115</x:v>
      </x:c>
      <x:c r="E5" s="1" t="n">
        <x:v>32</x:v>
      </x:c>
      <x:c r="F5" s="1" t="str">
        <x:v>tahu</x:v>
      </x:c>
      <x:c r="G5" s="5" t="n">
        <x:v>50</x:v>
      </x:c>
      <x:c r="H5" s="5" t="n">
        <x:v>100</x:v>
      </x:c>
      <x:c r="I5" s="5" t="n">
        <x:v>150</x:v>
      </x:c>
      <x:c r="J5" s="1" t="n">
        <x:f>IF(G5="","",ROUND(D5*G5/100,0))</x:f>
        <x:v>58</x:v>
      </x:c>
      <x:c r="K5" s="1" t="n">
        <x:f>IF(H5="","",ROUND(D5*H5/100,0))</x:f>
        <x:v>115</x:v>
      </x:c>
      <x:c r="L5" s="1" t="n">
        <x:f>IF(I5="","",ROUND(D5*I5/100,0))</x:f>
        <x:v>173</x:v>
      </x:c>
      <x:c r="M5" s="5" t="str">
        <x:v>Perlu timbang matang</x:v>
      </x:c>
      <x:c r="N5" s="1" t="str">
        <x:v>https://lib.poltekkespalembang.ac.id/index.php?bid=15003&amp;fid=94&amp;p=fstream-pdf</x:v>
      </x:c>
    </x:row>
    <x:row r="6" ht="29" customHeight="1">
      <x:c r="A6" s="1" t="str">
        <x:v>CP076</x:v>
      </x:c>
      <x:c r="B6" s="1" t="str">
        <x:v>Tempe kedelai murni, goreng</x:v>
      </x:c>
      <x:c r="C6" s="1" t="str">
        <x:v>Warteg</x:v>
      </x:c>
      <x:c r="D6" s="1" t="n">
        <x:v>350</x:v>
      </x:c>
      <x:c r="E6" s="1" t="n">
        <x:v>32</x:v>
      </x:c>
      <x:c r="F6" s="1" t="str">
        <x:v>tempe goreng</x:v>
      </x:c>
      <x:c r="G6" s="5"/>
      <x:c r="H6" s="5"/>
      <x:c r="I6" s="5"/>
      <x:c r="J6" s="1" t="str">
        <x:f>IF(G6="","",ROUND(D6*G6/100,0))</x:f>
      </x:c>
      <x:c r="K6" s="1" t="str">
        <x:f>IF(H6="","",ROUND(D6*H6/100,0))</x:f>
      </x:c>
      <x:c r="L6" s="1" t="str">
        <x:f>IF(I6="","",ROUND(D6*I6/100,0))</x:f>
      </x:c>
      <x:c r="M6" s="5" t="str">
        <x:v>Perlu ukur porsi</x:v>
      </x:c>
      <x:c r="N6" s="1" t="str">
        <x:v>https://lib.poltekkespalembang.ac.id/index.php?bid=15003&amp;fid=94&amp;p=fstream-pdf</x:v>
      </x:c>
    </x:row>
    <x:row r="7" ht="29" customHeight="1">
      <x:c r="A7" s="1" t="str">
        <x:v>CP083</x:v>
      </x:c>
      <x:c r="B7" s="1" t="str">
        <x:v>Tempe pasar goreng</x:v>
      </x:c>
      <x:c r="C7" s="1" t="str">
        <x:v>Warteg</x:v>
      </x:c>
      <x:c r="D7" s="1" t="n">
        <x:v>336</x:v>
      </x:c>
      <x:c r="E7" s="1" t="n">
        <x:v>33</x:v>
      </x:c>
      <x:c r="F7" s="1" t="str">
        <x:v>tempe</x:v>
      </x:c>
      <x:c r="G7" s="5" t="n">
        <x:v>25</x:v>
      </x:c>
      <x:c r="H7" s="5" t="n">
        <x:v>50</x:v>
      </x:c>
      <x:c r="I7" s="5" t="n">
        <x:v>75</x:v>
      </x:c>
      <x:c r="J7" s="1" t="n">
        <x:f>IF(G7="","",ROUND(D7*G7/100,0))</x:f>
        <x:v>84</x:v>
      </x:c>
      <x:c r="K7" s="1" t="n">
        <x:f>IF(H7="","",ROUND(D7*H7/100,0))</x:f>
        <x:v>168</x:v>
      </x:c>
      <x:c r="L7" s="1" t="n">
        <x:f>IF(I7="","",ROUND(D7*I7/100,0))</x:f>
        <x:v>252</x:v>
      </x:c>
      <x:c r="M7" s="5" t="str">
        <x:v>Perlu timbang matang</x:v>
      </x:c>
      <x:c r="N7" s="1" t="str">
        <x:v>https://lib.poltekkespalembang.ac.id/index.php?bid=15003&amp;fid=94&amp;p=fstream-pdf</x:v>
      </x:c>
    </x:row>
    <x:row r="8" ht="29" customHeight="1">
      <x:c r="A8" s="1" t="str">
        <x:v>FP024</x:v>
      </x:c>
      <x:c r="B8" s="1" t="str">
        <x:v>Ayam goreng kalasan, paha</x:v>
      </x:c>
      <x:c r="C8" s="1" t="str">
        <x:v>Warteg</x:v>
      </x:c>
      <x:c r="D8" s="1" t="n">
        <x:v>275</x:v>
      </x:c>
      <x:c r="E8" s="1" t="n">
        <x:v>52</x:v>
      </x:c>
      <x:c r="F8" s="1" t="str">
        <x:v>ayam goreng</x:v>
      </x:c>
      <x:c r="G8" s="5" t="n">
        <x:v>60</x:v>
      </x:c>
      <x:c r="H8" s="5" t="n">
        <x:v>100</x:v>
      </x:c>
      <x:c r="I8" s="5" t="n">
        <x:v>140</x:v>
      </x:c>
      <x:c r="J8" s="1" t="n">
        <x:f>IF(G8="","",ROUND(D8*G8/100,0))</x:f>
        <x:v>165</x:v>
      </x:c>
      <x:c r="K8" s="1" t="n">
        <x:f>IF(H8="","",ROUND(D8*H8/100,0))</x:f>
        <x:v>275</x:v>
      </x:c>
      <x:c r="L8" s="1" t="n">
        <x:f>IF(I8="","",ROUND(D8*I8/100,0))</x:f>
        <x:v>385</x:v>
      </x:c>
      <x:c r="M8" s="5" t="str">
        <x:v>Perlu timbang tanpa tulang</x:v>
      </x:c>
      <x:c r="N8" s="1" t="str">
        <x:v>https://lib.poltekkespalembang.ac.id/index.php?bid=15003&amp;fid=94&amp;p=fstream-pdf</x:v>
      </x:c>
    </x:row>
    <x:row r="9" ht="29" customHeight="1">
      <x:c r="A9" s="1" t="str">
        <x:v>AP084</x:v>
      </x:c>
      <x:c r="B9" s="1" t="str">
        <x:v>Mie aceh rebus</x:v>
      </x:c>
      <x:c r="C9" s="1" t="str">
        <x:v>Mie dan bakso</x:v>
      </x:c>
      <x:c r="D9" s="1" t="n">
        <x:v>113</x:v>
      </x:c>
      <x:c r="E9" s="1" t="n">
        <x:v>20</x:v>
      </x:c>
      <x:c r="F9" s="1" t="str">
        <x:v>mie aceh</x:v>
      </x:c>
      <x:c r="G9" s="5"/>
      <x:c r="H9" s="5"/>
      <x:c r="I9" s="5"/>
      <x:c r="J9" s="1" t="str">
        <x:f>IF(G9="","",ROUND(D9*G9/100,0))</x:f>
      </x:c>
      <x:c r="K9" s="1" t="str">
        <x:f>IF(H9="","",ROUND(D9*H9/100,0))</x:f>
      </x:c>
      <x:c r="L9" s="1" t="str">
        <x:f>IF(I9="","",ROUND(D9*I9/100,0))</x:f>
      </x:c>
      <x:c r="M9" s="5" t="str">
        <x:v>Perlu ukur porsi</x:v>
      </x:c>
      <x:c r="N9" s="1" t="str">
        <x:v>https://lib.poltekkespalembang.ac.id/index.php?bid=15003&amp;fid=94&amp;p=fstream-pdf</x:v>
      </x:c>
    </x:row>
    <x:row r="10" ht="29" customHeight="1">
      <x:c r="A10" s="1" t="str">
        <x:v>AP085</x:v>
      </x:c>
      <x:c r="B10" s="1" t="str">
        <x:v>Mie ayam</x:v>
      </x:c>
      <x:c r="C10" s="1" t="str">
        <x:v>Mie dan bakso</x:v>
      </x:c>
      <x:c r="D10" s="1" t="n">
        <x:v>102</x:v>
      </x:c>
      <x:c r="E10" s="1" t="n">
        <x:v>20</x:v>
      </x:c>
      <x:c r="F10" s="1" t="str">
        <x:v>mi ayam</x:v>
      </x:c>
      <x:c r="G10" s="5" t="n">
        <x:v>200</x:v>
      </x:c>
      <x:c r="H10" s="5" t="n">
        <x:v>300</x:v>
      </x:c>
      <x:c r="I10" s="5" t="n">
        <x:v>400</x:v>
      </x:c>
      <x:c r="J10" s="1" t="n">
        <x:f>IF(G10="","",ROUND(D10*G10/100,0))</x:f>
        <x:v>204</x:v>
      </x:c>
      <x:c r="K10" s="1" t="n">
        <x:f>IF(H10="","",ROUND(D10*H10/100,0))</x:f>
        <x:v>306</x:v>
      </x:c>
      <x:c r="L10" s="1" t="n">
        <x:f>IF(I10="","",ROUND(D10*I10/100,0))</x:f>
        <x:v>408</x:v>
      </x:c>
      <x:c r="M10" s="5" t="str">
        <x:v>Perlu timbang kios</x:v>
      </x:c>
      <x:c r="N10" s="1" t="str">
        <x:v>https://lib.poltekkespalembang.ac.id/index.php?bid=15003&amp;fid=94&amp;p=fstream-pdf</x:v>
      </x:c>
    </x:row>
    <x:row r="11" ht="29" customHeight="1">
      <x:c r="A11" s="1" t="str">
        <x:v>AP086</x:v>
      </x:c>
      <x:c r="B11" s="1" t="str">
        <x:v>Mie bakso</x:v>
      </x:c>
      <x:c r="C11" s="1" t="str">
        <x:v>Mie dan bakso</x:v>
      </x:c>
      <x:c r="D11" s="1" t="n">
        <x:v>114</x:v>
      </x:c>
      <x:c r="E11" s="1" t="n">
        <x:v>20</x:v>
      </x:c>
      <x:c r="F11" s="1" t="str">
        <x:v>bakso mie</x:v>
      </x:c>
      <x:c r="G11" s="5" t="n">
        <x:v>200</x:v>
      </x:c>
      <x:c r="H11" s="5" t="n">
        <x:v>300</x:v>
      </x:c>
      <x:c r="I11" s="5" t="n">
        <x:v>400</x:v>
      </x:c>
      <x:c r="J11" s="1" t="n">
        <x:f>IF(G11="","",ROUND(D11*G11/100,0))</x:f>
        <x:v>228</x:v>
      </x:c>
      <x:c r="K11" s="1" t="n">
        <x:f>IF(H11="","",ROUND(D11*H11/100,0))</x:f>
        <x:v>342</x:v>
      </x:c>
      <x:c r="L11" s="1" t="n">
        <x:f>IF(I11="","",ROUND(D11*I11/100,0))</x:f>
        <x:v>456</x:v>
      </x:c>
      <x:c r="M11" s="5" t="str">
        <x:v>Perlu timbang kios</x:v>
      </x:c>
      <x:c r="N11" s="1" t="str">
        <x:v>https://lib.poltekkespalembang.ac.id/index.php?bid=15003&amp;fid=94&amp;p=fstream-pdf</x:v>
      </x:c>
    </x:row>
    <x:row r="12" ht="29" customHeight="1">
      <x:c r="A12" s="1" t="str">
        <x:v>AP088</x:v>
      </x:c>
      <x:c r="B12" s="1" t="str">
        <x:v>Mie pangsit basah</x:v>
      </x:c>
      <x:c r="C12" s="1" t="str">
        <x:v>Mie dan bakso</x:v>
      </x:c>
      <x:c r="D12" s="1" t="n">
        <x:v>105</x:v>
      </x:c>
      <x:c r="E12" s="1" t="n">
        <x:v>20</x:v>
      </x:c>
      <x:c r="F12" s="1" t="str">
        <x:v>mie pangsit</x:v>
      </x:c>
      <x:c r="G12" s="5"/>
      <x:c r="H12" s="5"/>
      <x:c r="I12" s="5"/>
      <x:c r="J12" s="1" t="str">
        <x:f>IF(G12="","",ROUND(D12*G12/100,0))</x:f>
      </x:c>
      <x:c r="K12" s="1" t="str">
        <x:f>IF(H12="","",ROUND(D12*H12/100,0))</x:f>
      </x:c>
      <x:c r="L12" s="1" t="str">
        <x:f>IF(I12="","",ROUND(D12*I12/100,0))</x:f>
      </x:c>
      <x:c r="M12" s="5" t="str">
        <x:v>Perlu ukur porsi</x:v>
      </x:c>
      <x:c r="N12" s="1" t="str">
        <x:v>https://lib.poltekkespalembang.ac.id/index.php?bid=15003&amp;fid=94&amp;p=fstream-pdf</x:v>
      </x:c>
    </x:row>
    <x:row r="13" ht="29" customHeight="1">
      <x:c r="A13" s="1" t="str">
        <x:v>GP092</x:v>
      </x:c>
      <x:c r="B13" s="1" t="str">
        <x:v>Tekwan</x:v>
      </x:c>
      <x:c r="C13" s="1" t="str">
        <x:v>Mie dan bakso</x:v>
      </x:c>
      <x:c r="D13" s="1" t="n">
        <x:v>53</x:v>
      </x:c>
      <x:c r="E13" s="1" t="n">
        <x:v>63</x:v>
      </x:c>
      <x:c r="F13" s="1" t="str">
        <x:v>tekwan</x:v>
      </x:c>
      <x:c r="G13" s="5"/>
      <x:c r="H13" s="5"/>
      <x:c r="I13" s="5"/>
      <x:c r="J13" s="1" t="str">
        <x:f>IF(G13="","",ROUND(D13*G13/100,0))</x:f>
      </x:c>
      <x:c r="K13" s="1" t="str">
        <x:f>IF(H13="","",ROUND(D13*H13/100,0))</x:f>
      </x:c>
      <x:c r="L13" s="1" t="str">
        <x:f>IF(I13="","",ROUND(D13*I13/100,0))</x:f>
      </x:c>
      <x:c r="M13" s="5" t="str">
        <x:v>Perlu ukur porsi</x:v>
      </x:c>
      <x:c r="N13" s="1" t="str">
        <x:v>https://lib.poltekkespalembang.ac.id/index.php?bid=15003&amp;fid=94&amp;p=fstream-pdf</x:v>
      </x:c>
    </x:row>
    <x:row r="14" ht="29" customHeight="1">
      <x:c r="A14" s="1" t="str">
        <x:v>AP031</x:v>
      </x:c>
      <x:c r="B14" s="1" t="str">
        <x:v>Bakwan</x:v>
      </x:c>
      <x:c r="C14" s="1" t="str">
        <x:v>Gorengan</x:v>
      </x:c>
      <x:c r="D14" s="1" t="n">
        <x:v>280</x:v>
      </x:c>
      <x:c r="E14" s="1" t="n">
        <x:v>18</x:v>
      </x:c>
      <x:c r="F14" s="1" t="str">
        <x:v>bala-bala; ote-ote</x:v>
      </x:c>
      <x:c r="G14" s="5" t="n">
        <x:v>25</x:v>
      </x:c>
      <x:c r="H14" s="5" t="n">
        <x:v>50</x:v>
      </x:c>
      <x:c r="I14" s="5" t="n">
        <x:v>75</x:v>
      </x:c>
      <x:c r="J14" s="1" t="n">
        <x:f>IF(G14="","",ROUND(D14*G14/100,0))</x:f>
        <x:v>70</x:v>
      </x:c>
      <x:c r="K14" s="1" t="n">
        <x:f>IF(H14="","",ROUND(D14*H14/100,0))</x:f>
        <x:v>140</x:v>
      </x:c>
      <x:c r="L14" s="1" t="n">
        <x:f>IF(I14="","",ROUND(D14*I14/100,0))</x:f>
        <x:v>210</x:v>
      </x:c>
      <x:c r="M14" s="5" t="str">
        <x:v>Perlu timbang gorengan</x:v>
      </x:c>
      <x:c r="N14" s="1" t="str">
        <x:v>https://lib.poltekkespalembang.ac.id/index.php?bid=15003&amp;fid=94&amp;p=fstream-pdf</x:v>
      </x:c>
    </x:row>
    <x:row r="15" ht="29" customHeight="1">
      <x:c r="A15" s="1" t="str">
        <x:v>AP096</x:v>
      </x:c>
      <x:c r="B15" s="1" t="str">
        <x:v>Pastel</x:v>
      </x:c>
      <x:c r="C15" s="1" t="str">
        <x:v>Gorengan</x:v>
      </x:c>
      <x:c r="D15" s="1" t="n">
        <x:v>307</x:v>
      </x:c>
      <x:c r="E15" s="1" t="n">
        <x:v>20</x:v>
      </x:c>
      <x:c r="F15" s="1" t="str">
        <x:v>jalangkote</x:v>
      </x:c>
      <x:c r="G15" s="5"/>
      <x:c r="H15" s="5"/>
      <x:c r="I15" s="5"/>
      <x:c r="J15" s="1" t="str">
        <x:f>IF(G15="","",ROUND(D15*G15/100,0))</x:f>
      </x:c>
      <x:c r="K15" s="1" t="str">
        <x:f>IF(H15="","",ROUND(D15*H15/100,0))</x:f>
      </x:c>
      <x:c r="L15" s="1" t="str">
        <x:f>IF(I15="","",ROUND(D15*I15/100,0))</x:f>
      </x:c>
      <x:c r="M15" s="5" t="str">
        <x:v>Perlu ukur porsi</x:v>
      </x:c>
      <x:c r="N15" s="1" t="str">
        <x:v>https://lib.poltekkespalembang.ac.id/index.php?bid=15003&amp;fid=94&amp;p=fstream-pdf</x:v>
      </x:c>
    </x:row>
    <x:row r="16" ht="29" customHeight="1">
      <x:c r="A16" s="1" t="str">
        <x:v>AP094</x:v>
      </x:c>
      <x:c r="B16" s="1" t="str">
        <x:v>Onde-onde</x:v>
      </x:c>
      <x:c r="C16" s="1" t="str">
        <x:v>Gorengan</x:v>
      </x:c>
      <x:c r="D16" s="1" t="n">
        <x:v>336</x:v>
      </x:c>
      <x:c r="E16" s="1" t="n">
        <x:v>20</x:v>
      </x:c>
      <x:c r="F16" s="1" t="str">
        <x:v>onde onde</x:v>
      </x:c>
      <x:c r="G16" s="5"/>
      <x:c r="H16" s="5"/>
      <x:c r="I16" s="5"/>
      <x:c r="J16" s="1" t="str">
        <x:f>IF(G16="","",ROUND(D16*G16/100,0))</x:f>
      </x:c>
      <x:c r="K16" s="1" t="str">
        <x:f>IF(H16="","",ROUND(D16*H16/100,0))</x:f>
      </x:c>
      <x:c r="L16" s="1" t="str">
        <x:f>IF(I16="","",ROUND(D16*I16/100,0))</x:f>
      </x:c>
      <x:c r="M16" s="5" t="str">
        <x:v>Perlu ukur porsi</x:v>
      </x:c>
      <x:c r="N16" s="1" t="str">
        <x:v>https://lib.poltekkespalembang.ac.id/index.php?bid=15003&amp;fid=94&amp;p=fstream-pdf</x:v>
      </x:c>
    </x:row>
    <x:row r="17" ht="29" customHeight="1">
      <x:c r="A17" s="1" t="str">
        <x:v>FP074</x:v>
      </x:c>
      <x:c r="B17" s="1" t="str">
        <x:v>Soto bandung</x:v>
      </x:c>
      <x:c r="C17" s="1" t="str">
        <x:v>Soto</x:v>
      </x:c>
      <x:c r="D17" s="1" t="n">
        <x:v>42</x:v>
      </x:c>
      <x:c r="E17" s="1" t="n">
        <x:v>55</x:v>
      </x:c>
      <x:c r="F17" s="1" t="str">
        <x:v>soto daging bandung</x:v>
      </x:c>
      <x:c r="G17" s="5"/>
      <x:c r="H17" s="5"/>
      <x:c r="I17" s="5"/>
      <x:c r="J17" s="1" t="str">
        <x:f>IF(G17="","",ROUND(D17*G17/100,0))</x:f>
      </x:c>
      <x:c r="K17" s="1" t="str">
        <x:f>IF(H17="","",ROUND(D17*H17/100,0))</x:f>
      </x:c>
      <x:c r="L17" s="1" t="str">
        <x:f>IF(I17="","",ROUND(D17*I17/100,0))</x:f>
      </x:c>
      <x:c r="M17" s="5" t="str">
        <x:v>Perlu ukur porsi</x:v>
      </x:c>
      <x:c r="N17" s="1" t="str">
        <x:v>https://lib.poltekkespalembang.ac.id/index.php?bid=15003&amp;fid=94&amp;p=fstream-pdf</x:v>
      </x:c>
    </x:row>
    <x:row r="18" ht="29" customHeight="1">
      <x:c r="A18" s="1" t="str">
        <x:v>FP075</x:v>
      </x:c>
      <x:c r="B18" s="1" t="str">
        <x:v>Soto banjar</x:v>
      </x:c>
      <x:c r="C18" s="1" t="str">
        <x:v>Soto</x:v>
      </x:c>
      <x:c r="D18" s="1" t="n">
        <x:v>110</x:v>
      </x:c>
      <x:c r="E18" s="1" t="n">
        <x:v>55</x:v>
      </x:c>
      <x:c r="F18" s="1" t="str">
        <x:v>soto ayam banjar</x:v>
      </x:c>
      <x:c r="G18" s="5"/>
      <x:c r="H18" s="5"/>
      <x:c r="I18" s="5"/>
      <x:c r="J18" s="1" t="str">
        <x:f>IF(G18="","",ROUND(D18*G18/100,0))</x:f>
      </x:c>
      <x:c r="K18" s="1" t="str">
        <x:f>IF(H18="","",ROUND(D18*H18/100,0))</x:f>
      </x:c>
      <x:c r="L18" s="1" t="str">
        <x:f>IF(I18="","",ROUND(D18*I18/100,0))</x:f>
      </x:c>
      <x:c r="M18" s="5" t="str">
        <x:v>Perlu ukur porsi</x:v>
      </x:c>
      <x:c r="N18" s="1" t="str">
        <x:v>https://lib.poltekkespalembang.ac.id/index.php?bid=15003&amp;fid=94&amp;p=fstream-pdf</x:v>
      </x:c>
    </x:row>
    <x:row r="19" ht="29" customHeight="1">
      <x:c r="A19" s="1" t="str">
        <x:v>FP076</x:v>
      </x:c>
      <x:c r="B19" s="1" t="str">
        <x:v>Soto betawi</x:v>
      </x:c>
      <x:c r="C19" s="1" t="str">
        <x:v>Soto</x:v>
      </x:c>
      <x:c r="D19" s="1" t="n">
        <x:v>135</x:v>
      </x:c>
      <x:c r="E19" s="1" t="n">
        <x:v>55</x:v>
      </x:c>
      <x:c r="F19" s="1" t="str">
        <x:v>soto sapi betawi</x:v>
      </x:c>
      <x:c r="G19" s="5" t="n">
        <x:v>150</x:v>
      </x:c>
      <x:c r="H19" s="5" t="n">
        <x:v>250</x:v>
      </x:c>
      <x:c r="I19" s="5" t="n">
        <x:v>350</x:v>
      </x:c>
      <x:c r="J19" s="1" t="n">
        <x:f>IF(G19="","",ROUND(D19*G19/100,0))</x:f>
        <x:v>203</x:v>
      </x:c>
      <x:c r="K19" s="1" t="n">
        <x:f>IF(H19="","",ROUND(D19*H19/100,0))</x:f>
        <x:v>338</x:v>
      </x:c>
      <x:c r="L19" s="1" t="n">
        <x:f>IF(I19="","",ROUND(D19*I19/100,0))</x:f>
        <x:v>473</x:v>
      </x:c>
      <x:c r="M19" s="5" t="str">
        <x:v>Perlu timbang komponen</x:v>
      </x:c>
      <x:c r="N19" s="1" t="str">
        <x:v>https://lib.poltekkespalembang.ac.id/index.php?bid=15003&amp;fid=94&amp;p=fstream-pdf</x:v>
      </x:c>
    </x:row>
    <x:row r="20" ht="29" customHeight="1">
      <x:c r="A20" s="1" t="str">
        <x:v>FP078</x:v>
      </x:c>
      <x:c r="B20" s="1" t="str">
        <x:v>Soto kudus</x:v>
      </x:c>
      <x:c r="C20" s="1" t="str">
        <x:v>Soto</x:v>
      </x:c>
      <x:c r="D20" s="1" t="n">
        <x:v>38</x:v>
      </x:c>
      <x:c r="E20" s="1" t="n">
        <x:v>55</x:v>
      </x:c>
      <x:c r="F20" s="1" t="str">
        <x:v>soto ayam kudus</x:v>
      </x:c>
      <x:c r="G20" s="5"/>
      <x:c r="H20" s="5"/>
      <x:c r="I20" s="5"/>
      <x:c r="J20" s="1" t="str">
        <x:f>IF(G20="","",ROUND(D20*G20/100,0))</x:f>
      </x:c>
      <x:c r="K20" s="1" t="str">
        <x:f>IF(H20="","",ROUND(D20*H20/100,0))</x:f>
      </x:c>
      <x:c r="L20" s="1" t="str">
        <x:f>IF(I20="","",ROUND(D20*I20/100,0))</x:f>
      </x:c>
      <x:c r="M20" s="5" t="str">
        <x:v>Perlu ukur porsi</x:v>
      </x:c>
      <x:c r="N20" s="1" t="str">
        <x:v>https://lib.poltekkespalembang.ac.id/index.php?bid=15003&amp;fid=94&amp;p=fstream-pdf</x:v>
      </x:c>
    </x:row>
    <x:row r="21" ht="29" customHeight="1">
      <x:c r="A21" s="1" t="str">
        <x:v>FP080</x:v>
      </x:c>
      <x:c r="B21" s="1" t="str">
        <x:v>Soto padang</x:v>
      </x:c>
      <x:c r="C21" s="1" t="str">
        <x:v>Soto</x:v>
      </x:c>
      <x:c r="D21" s="1" t="n">
        <x:v>127</x:v>
      </x:c>
      <x:c r="E21" s="1" t="n">
        <x:v>55</x:v>
      </x:c>
      <x:c r="F21" s="1" t="str">
        <x:v>soto sapi padang</x:v>
      </x:c>
      <x:c r="G21" s="5"/>
      <x:c r="H21" s="5"/>
      <x:c r="I21" s="5"/>
      <x:c r="J21" s="1" t="str">
        <x:f>IF(G21="","",ROUND(D21*G21/100,0))</x:f>
      </x:c>
      <x:c r="K21" s="1" t="str">
        <x:f>IF(H21="","",ROUND(D21*H21/100,0))</x:f>
      </x:c>
      <x:c r="L21" s="1" t="str">
        <x:f>IF(I21="","",ROUND(D21*I21/100,0))</x:f>
      </x:c>
      <x:c r="M21" s="5" t="str">
        <x:v>Perlu ukur porsi</x:v>
      </x:c>
      <x:c r="N21" s="1" t="str">
        <x:v>https://lib.poltekkespalembang.ac.id/index.php?bid=15003&amp;fid=94&amp;p=fstream-pdf</x:v>
      </x:c>
    </x:row>
    <x:row r="22" ht="29" customHeight="1">
      <x:c r="A22" s="1" t="str">
        <x:v>AP092</x:v>
      </x:c>
      <x:c r="B22" s="1" t="str">
        <x:v>Nasi rames</x:v>
      </x:c>
      <x:c r="C22" s="1" t="str">
        <x:v>Nasi Padang</x:v>
      </x:c>
      <x:c r="D22" s="1" t="n">
        <x:v>155</x:v>
      </x:c>
      <x:c r="E22" s="1" t="n">
        <x:v>20</x:v>
      </x:c>
      <x:c r="F22" s="1" t="str">
        <x:v>nasi campur; nasi padang</x:v>
      </x:c>
      <x:c r="G22" s="5" t="n">
        <x:v>200</x:v>
      </x:c>
      <x:c r="H22" s="5" t="n">
        <x:v>300</x:v>
      </x:c>
      <x:c r="I22" s="5" t="n">
        <x:v>400</x:v>
      </x:c>
      <x:c r="J22" s="1" t="n">
        <x:f>IF(G22="","",ROUND(D22*G22/100,0))</x:f>
        <x:v>310</x:v>
      </x:c>
      <x:c r="K22" s="1" t="n">
        <x:f>IF(H22="","",ROUND(D22*H22/100,0))</x:f>
        <x:v>465</x:v>
      </x:c>
      <x:c r="L22" s="1" t="n">
        <x:f>IF(I22="","",ROUND(D22*I22/100,0))</x:f>
        <x:v>620</x:v>
      </x:c>
      <x:c r="M22" s="5" t="str">
        <x:v>Perlu resep/komponen</x:v>
      </x:c>
      <x:c r="N22" s="1" t="str">
        <x:v>https://lib.poltekkespalembang.ac.id/index.php?bid=15003&amp;fid=94&amp;p=fstream-pdf</x:v>
      </x:c>
    </x:row>
    <x:row r="23" ht="29" customHeight="1">
      <x:c r="A23" s="1" t="str">
        <x:v>FP062</x:v>
      </x:c>
      <x:c r="B23" s="1" t="str">
        <x:v>Rendang sapi</x:v>
      </x:c>
      <x:c r="C23" s="1" t="str">
        <x:v>Nasi Padang</x:v>
      </x:c>
      <x:c r="D23" s="1" t="n">
        <x:v>193</x:v>
      </x:c>
      <x:c r="E23" s="1" t="n">
        <x:v>54</x:v>
      </x:c>
      <x:c r="F23" s="1" t="str">
        <x:v>rendang</x:v>
      </x:c>
      <x:c r="G23" s="5" t="n">
        <x:v>50</x:v>
      </x:c>
      <x:c r="H23" s="5" t="n">
        <x:v>100</x:v>
      </x:c>
      <x:c r="I23" s="5" t="n">
        <x:v>150</x:v>
      </x:c>
      <x:c r="J23" s="1" t="n">
        <x:f>IF(G23="","",ROUND(D23*G23/100,0))</x:f>
        <x:v>97</x:v>
      </x:c>
      <x:c r="K23" s="1" t="n">
        <x:f>IF(H23="","",ROUND(D23*H23/100,0))</x:f>
        <x:v>193</x:v>
      </x:c>
      <x:c r="L23" s="1" t="n">
        <x:f>IF(I23="","",ROUND(D23*I23/100,0))</x:f>
        <x:v>290</x:v>
      </x:c>
      <x:c r="M23" s="5" t="str">
        <x:v>Perlu timbang matang</x:v>
      </x:c>
      <x:c r="N23" s="1" t="str">
        <x:v>https://lib.poltekkespalembang.ac.id/index.php?bid=15003&amp;fid=94&amp;p=fstream-pdf</x:v>
      </x:c>
    </x:row>
    <x:row r="24" ht="29" customHeight="1">
      <x:c r="A24" s="1" t="str">
        <x:v>AP060</x:v>
      </x:c>
      <x:c r="B24" s="1" t="str">
        <x:v>Ketoprak</x:v>
      </x:c>
      <x:c r="C24" s="1" t="str">
        <x:v>Pecel dan ketoprak</x:v>
      </x:c>
      <x:c r="D24" s="1" t="n">
        <x:v>153</x:v>
      </x:c>
      <x:c r="E24" s="1" t="n">
        <x:v>19</x:v>
      </x:c>
      <x:c r="F24" s="1" t="str">
        <x:v>ketoprak jakarta</x:v>
      </x:c>
      <x:c r="G24" s="5"/>
      <x:c r="H24" s="5"/>
      <x:c r="I24" s="5"/>
      <x:c r="J24" s="1" t="str">
        <x:f>IF(G24="","",ROUND(D24*G24/100,0))</x:f>
      </x:c>
      <x:c r="K24" s="1" t="str">
        <x:f>IF(H24="","",ROUND(D24*H24/100,0))</x:f>
      </x:c>
      <x:c r="L24" s="1" t="str">
        <x:f>IF(I24="","",ROUND(D24*I24/100,0))</x:f>
      </x:c>
      <x:c r="M24" s="5" t="str">
        <x:v>Perlu ukur porsi</x:v>
      </x:c>
      <x:c r="N24" s="1" t="str">
        <x:v>https://lib.poltekkespalembang.ac.id/index.php?bid=15003&amp;fid=94&amp;p=fstream-pdf</x:v>
      </x:c>
    </x:row>
    <x:row r="25" ht="29" customHeight="1">
      <x:c r="A25" s="1" t="str">
        <x:v>AP040</x:v>
      </x:c>
      <x:c r="B25" s="1" t="str">
        <x:v>Bubur tinotuan</x:v>
      </x:c>
      <x:c r="C25" s="1" t="str">
        <x:v>Bubur</x:v>
      </x:c>
      <x:c r="D25" s="1" t="n">
        <x:v>156</x:v>
      </x:c>
      <x:c r="E25" s="1" t="n">
        <x:v>18</x:v>
      </x:c>
      <x:c r="F25" s="1" t="str">
        <x:v>bubur manado; tinutuan</x:v>
      </x:c>
      <x:c r="G25" s="5"/>
      <x:c r="H25" s="5"/>
      <x:c r="I25" s="5"/>
      <x:c r="J25" s="1" t="str">
        <x:f>IF(G25="","",ROUND(D25*G25/100,0))</x:f>
      </x:c>
      <x:c r="K25" s="1" t="str">
        <x:f>IF(H25="","",ROUND(D25*H25/100,0))</x:f>
      </x:c>
      <x:c r="L25" s="1" t="str">
        <x:f>IF(I25="","",ROUND(D25*I25/100,0))</x:f>
      </x:c>
      <x:c r="M25" s="5" t="str">
        <x:v>Verifikasi energi &amp; porsi</x:v>
      </x:c>
      <x:c r="N25" s="1" t="str">
        <x:v>https://lib.poltekkespalembang.ac.id/index.php?bid=15003&amp;fid=94&amp;p=fstream-pdf</x:v>
      </x:c>
    </x:row>
    <x:row r="26" ht="29" customHeight="1">
      <x:c r="A26" s="1" t="str">
        <x:v>GP090</x:v>
      </x:c>
      <x:c r="B26" s="1" t="str">
        <x:v>Sate bandeng</x:v>
      </x:c>
      <x:c r="C26" s="1" t="str">
        <x:v>Ikan</x:v>
      </x:c>
      <x:c r="D26" s="1" t="n">
        <x:v>283</x:v>
      </x:c>
      <x:c r="E26" s="1" t="n">
        <x:v>63</x:v>
      </x:c>
      <x:c r="F26" s="1" t="str">
        <x:v>sate ikan bandeng</x:v>
      </x:c>
      <x:c r="G26" s="5"/>
      <x:c r="H26" s="5"/>
      <x:c r="I26" s="5"/>
      <x:c r="J26" s="1" t="str">
        <x:f>IF(G26="","",ROUND(D26*G26/100,0))</x:f>
      </x:c>
      <x:c r="K26" s="1" t="str">
        <x:f>IF(H26="","",ROUND(D26*H26/100,0))</x:f>
      </x:c>
      <x:c r="L26" s="1" t="str">
        <x:f>IF(I26="","",ROUND(D26*I26/100,0))</x:f>
      </x:c>
      <x:c r="M26" s="5" t="str">
        <x:v>Perlu ukur porsi</x:v>
      </x:c>
      <x:c r="N26" s="1" t="str">
        <x:v>https://lib.poltekkespalembang.ac.id/index.php?bid=15003&amp;fid=94&amp;p=fstream-pdf</x:v>
      </x:c>
    </x:row>
    <x:row r="27" ht="29" customHeight="1">
      <x:c r="A27" s="1" t="str">
        <x:v>FP061</x:v>
      </x:c>
      <x:c r="B27" s="1" t="str">
        <x:v>Rawon</x:v>
      </x:c>
      <x:c r="C27" s="1" t="str">
        <x:v>Warteg</x:v>
      </x:c>
      <x:c r="D27" s="1" t="n">
        <x:v>60</x:v>
      </x:c>
      <x:c r="E27" s="1" t="n">
        <x:v>54</x:v>
      </x:c>
      <x:c r="F27" s="1" t="str">
        <x:v>rawon sapi</x:v>
      </x:c>
      <x:c r="G27" s="5"/>
      <x:c r="H27" s="5"/>
      <x:c r="I27" s="5"/>
      <x:c r="J27" s="1" t="str">
        <x:f>IF(G27="","",ROUND(D27*G27/100,0))</x:f>
      </x:c>
      <x:c r="K27" s="1" t="str">
        <x:f>IF(H27="","",ROUND(D27*H27/100,0))</x:f>
      </x:c>
      <x:c r="L27" s="1" t="str">
        <x:f>IF(I27="","",ROUND(D27*I27/100,0))</x:f>
      </x:c>
      <x:c r="M27" s="5" t="str">
        <x:v>Perlu ukur porsi</x:v>
      </x:c>
      <x:c r="N27" s="1" t="str">
        <x:v>https://lib.poltekkespalembang.ac.id/index.php?bid=15003&amp;fid=94&amp;p=fstream-pdf</x:v>
      </x:c>
    </x:row>
    <x:row r="28" ht="29" customHeight="1">
      <x:c r="A28" s="1" t="str">
        <x:v>AP089</x:v>
      </x:c>
      <x:c r="B28" s="1" t="str">
        <x:v>Nasi gemuk</x:v>
      </x:c>
      <x:c r="C28" s="1" t="str">
        <x:v>Warteg</x:v>
      </x:c>
      <x:c r="D28" s="1" t="n">
        <x:v>192</x:v>
      </x:c>
      <x:c r="E28" s="1" t="n">
        <x:v>20</x:v>
      </x:c>
      <x:c r="F28" s="1" t="str">
        <x:v>nasi uduk gaya jambi</x:v>
      </x:c>
      <x:c r="G28" s="5"/>
      <x:c r="H28" s="5"/>
      <x:c r="I28" s="5"/>
      <x:c r="J28" s="1" t="str">
        <x:f>IF(G28="","",ROUND(D28*G28/100,0))</x:f>
      </x:c>
      <x:c r="K28" s="1" t="str">
        <x:f>IF(H28="","",ROUND(D28*H28/100,0))</x:f>
      </x:c>
      <x:c r="L28" s="1" t="str">
        <x:f>IF(I28="","",ROUND(D28*I28/100,0))</x:f>
      </x:c>
      <x:c r="M28" s="5" t="str">
        <x:v>Perlu ukur porsi</x:v>
      </x:c>
      <x:c r="N28" s="1" t="str">
        <x:v>https://lib.poltekkespalembang.ac.id/index.php?bid=15003&amp;fid=94&amp;p=fstream-pdf</x:v>
      </x:c>
    </x:row>
    <x:row r="29" ht="29" customHeight="1">
      <x:c r="A29" s="1" t="str">
        <x:v>AP090</x:v>
      </x:c>
      <x:c r="B29" s="1" t="str">
        <x:v>Nasi gurih</x:v>
      </x:c>
      <x:c r="C29" s="1" t="str">
        <x:v>Warteg</x:v>
      </x:c>
      <x:c r="D29" s="1" t="n">
        <x:v>190</x:v>
      </x:c>
      <x:c r="E29" s="1" t="n">
        <x:v>20</x:v>
      </x:c>
      <x:c r="F29" s="1" t="str">
        <x:v>nasi gurih medan</x:v>
      </x:c>
      <x:c r="G29" s="5"/>
      <x:c r="H29" s="5"/>
      <x:c r="I29" s="5"/>
      <x:c r="J29" s="1" t="str">
        <x:f>IF(G29="","",ROUND(D29*G29/100,0))</x:f>
      </x:c>
      <x:c r="K29" s="1" t="str">
        <x:f>IF(H29="","",ROUND(D29*H29/100,0))</x:f>
      </x:c>
      <x:c r="L29" s="1" t="str">
        <x:f>IF(I29="","",ROUND(D29*I29/100,0))</x:f>
      </x:c>
      <x:c r="M29" s="5" t="str">
        <x:v>Perlu ukur porsi</x:v>
      </x:c>
      <x:c r="N29" s="1" t="str">
        <x:v>https://lib.poltekkespalembang.ac.id/index.php?bid=15003&amp;fid=94&amp;p=fstream-pdf</x:v>
      </x:c>
    </x:row>
  </x:sheetData>
  <x:pageMargins left="0.7" right="0.7" top="0.75" bottom="0.75" header="0.3" footer="0.3"/>
  <x:tableParts count="1">
    <x:tablePart xmlns:r="http://schemas.openxmlformats.org/officeDocument/2006/relationships" r:id="R670f5f80aa5c455a"/>
  </x:tableParts>
</x:worksheet>
</file>

<file path=xl/worksheets/sheet2.xml><?xml version="1.0" encoding="utf-8"?>
<x:worksheet xmlns:x="http://schemas.openxmlformats.org/spreadsheetml/2006/main">
  <x:sheetPr>
    <x:tabColor rgb="FFBF8B26"/>
  </x:sheetPr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  <x:col min="3" max="3" width="95" hidden="0" customWidth="1"/>
  </x:cols>
  <x:sheetData>
    <x:row r="1" ht="30" customHeight="1">
      <x:c r="A1" s="3" t="str">
        <x:v>Makanan prioritas</x:v>
      </x:c>
      <x:c r="B1" s="3" t="str">
        <x:v>Status</x:v>
      </x:c>
      <x:c r="C1" s="3" t="str">
        <x:v>Pekerjaan berikutnya</x:v>
      </x:c>
    </x:row>
    <x:row r="2" ht="40" customHeight="1">
      <x:c r="A2" s="1" t="str">
        <x:v>Nasi goreng</x:v>
      </x:c>
      <x:c r="B2" s="1" t="str">
        <x:v>Belum ada baris TKPI yang cocok</x:v>
      </x:c>
      <x:c r="C2" s="6" t="str">
        <x:v>Jangan gunakan 600 kkal dari contoh wireframe sebagai data gizi. Cari komposisi resep dan timbang contoh porsi.</x:v>
      </x:c>
    </x:row>
    <x:row r="3" ht="40" customHeight="1">
      <x:c r="A3" s="1" t="str">
        <x:v>Sate ayam</x:v>
      </x:c>
      <x:c r="B3" s="1" t="str">
        <x:v>Belum ada baris TKPI yang cocok</x:v>
      </x:c>
      <x:c r="C3" s="6" t="str">
        <x:v>Perlu data ayam matang, saus kacang, dan jumlah tusuk atau analisis resep.</x:v>
      </x:c>
    </x:row>
    <x:row r="4" ht="40" customHeight="1">
      <x:c r="A4" s="1" t="str">
        <x:v>Pecel sayur</x:v>
      </x:c>
      <x:c r="B4" s="1" t="str">
        <x:v>Belum ada baris TKPI yang cocok</x:v>
      </x:c>
      <x:c r="C4" s="6" t="str">
        <x:v>Perlu massa sayur, saus kacang, dan lauk opsional.</x:v>
      </x:c>
    </x:row>
    <x:row r="5" ht="40" customHeight="1">
      <x:c r="A5" s="1" t="str">
        <x:v>Bubur ayam</x:v>
      </x:c>
      <x:c r="B5" s="1" t="str">
        <x:v>Belum ada baris TKPI yang cocok</x:v>
      </x:c>
      <x:c r="C5" s="6" t="str">
        <x:v>Tinotuan tidak boleh menggantikan bubur ayam. Perlu data resep/porsi.</x:v>
      </x:c>
    </x:row>
    <x:row r="6" ht="40" customHeight="1">
      <x:c r="A6" s="1" t="str">
        <x:v>Es teh manis</x:v>
      </x:c>
      <x:c r="B6" s="1" t="str">
        <x:v>Belum ada baris TKPI yang cocok</x:v>
      </x:c>
      <x:c r="C6" s="6" t="str">
        <x:v>Perlu volume, jumlah gula, dan pilihan tanpa gula.</x:v>
      </x:c>
    </x:row>
    <x:row r="7" ht="40" customHeight="1">
      <x:c r="A7" s="1" t="str">
        <x:v>Ikan bakar</x:v>
      </x:c>
      <x:c r="B7" s="1" t="str">
        <x:v>Belum ada baris TKPI yang cocok</x:v>
      </x:c>
      <x:c r="C7" s="6" t="str">
        <x:v>Sate bandeng bukan pengganti ikan bakar umum; perlu jenis ikan dan berat bagian yang dimakan.</x:v>
      </x:c>
    </x:row>
    <x:row r="10">
      <x:c r="A10" t="str">
        <x:v>Sumber utama</x:v>
      </x:c>
      <x:c r="B10" t="str">
        <x:v>Kemenkes RI, Tabel Komposisi Pangan Indonesia 2017, melalui perpustakaan Poltekkes Kemenkes Palembang.</x:v>
      </x:c>
    </x:row>
    <x:row r="11">
      <x:c r="B11" t="str">
        <x:v>https://lib.poltekkespalembang.ac.id/index.php?bid=15003&amp;fid=94&amp;p=fstream-pdf</x:v>
      </x:c>
    </x:row>
    <x:row r="13" ht="36" customHeight="1">
      <x:c r="A13" t="str">
        <x:v>Cara membaca</x:v>
      </x:c>
      <x:c r="B13" s="7" t="str">
        <x:v>Angka adalah kkal per 100 gram bagian yang dapat dimakan, bukan per mangkuk atau per potong. Ukuran kios dan alias masih usulan produk.</x:v>
      </x:c>
    </x:row>
    <x:row r="14" ht="36" customHeight="1">
      <x:c r="B14" s="7" t="str">
        <x:v>Kolom gram kecil/sedang/besar sengaja kosong. Setelah porsi diukur, Excel menghitung estimasi kkal otomatis.</x:v>
      </x:c>
    </x:row>
    <x:row r="15" ht="36" customHeight="1">
      <x:c r="B15" s="7" t="str">
        <x:v>Variasi resep dan minyak goreng dapat mengubah energi nyata. Hak penggunaan dataset untuk aplikasi publik perlu ditinjau sebelum peluncuran.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F8B2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13" hidden="0" customWidth="1"/>
    <x:col min="4" max="4" width="13" hidden="0" customWidth="1"/>
    <x:col min="5" max="5" width="13" hidden="0" customWidth="1"/>
    <x:col min="6" max="6" width="22" hidden="0" customWidth="1"/>
    <x:col min="7" max="7" width="22" hidden="0" customWidth="1"/>
    <x:col min="8" max="8" width="22" hidden="0" customWidth="1"/>
    <x:col min="9" max="9" width="88" hidden="0" customWidth="1"/>
    <x:col min="10" max="10" width="29" hidden="0" customWidth="1"/>
  </x:cols>
  <x:sheetData>
    <x:row r="2">
      <x:c r="A2" s="8" t="str">
        <x:v>Porsi awal untuk 10 makanan prioritas</x:v>
      </x:c>
    </x:row>
    <x:row r="3">
      <x:c r="A3" s="9" t="str">
        <x:v>Angka ini untuk prototipe dan uji lapangan. Jangan tampilkan sebagai porsi terverifikasi sebelum makanan matang ditimbang.</x:v>
      </x:c>
    </x:row>
    <x:row r="5" ht="30" customHeight="1">
      <x:c r="A5" s="12" t="str">
        <x:v>Kode</x:v>
      </x:c>
      <x:c r="B5" s="12" t="str">
        <x:v>Makanan</x:v>
      </x:c>
      <x:c r="C5" s="12" t="str">
        <x:v>Kecil (g)</x:v>
      </x:c>
      <x:c r="D5" s="12" t="str">
        <x:v>Sedang (g)</x:v>
      </x:c>
      <x:c r="E5" s="12" t="str">
        <x:v>Besar (g)</x:v>
      </x:c>
      <x:c r="F5" s="12" t="str">
        <x:v>Label kecil</x:v>
      </x:c>
      <x:c r="G5" s="12" t="str">
        <x:v>Label sedang</x:v>
      </x:c>
      <x:c r="H5" s="12" t="str">
        <x:v>Label besar</x:v>
      </x:c>
      <x:c r="I5" s="12" t="str">
        <x:v>Dasar penetapan</x:v>
      </x:c>
      <x:c r="J5" s="12" t="str">
        <x:v>Status</x:v>
      </x:c>
    </x:row>
    <x:row r="6" ht="48" customHeight="1">
      <x:c r="A6" s="13" t="str">
        <x:v>AP001</x:v>
      </x:c>
      <x:c r="B6" s="13" t="str">
        <x:v>nasi</x:v>
      </x:c>
      <x:c r="C6" s="15" t="n">
        <x:v>75</x:v>
      </x:c>
      <x:c r="D6" s="15" t="n">
        <x:v>100</x:v>
      </x:c>
      <x:c r="E6" s="15" t="n">
        <x:v>150</x:v>
      </x:c>
      <x:c r="F6" s="13" t="str">
        <x:v>½–¾ gelas</x:v>
      </x:c>
      <x:c r="G6" s="13" t="str">
        <x:v>¾ gelas</x:v>
      </x:c>
      <x:c r="H6" s="13" t="str">
        <x:v>±1 gelas penuh</x:v>
      </x:c>
      <x:c r="I6" s="14" t="str">
        <x:v>Sedang 100 g / ¾ gelas dari Kemenkes; kecil/besar asumsi BPK</x:v>
      </x:c>
      <x:c r="J6" s="16" t="str">
        <x:v>Anchor sedang; variasi perlu timbang</x:v>
      </x:c>
    </x:row>
    <x:row r="7" ht="48" customHeight="1">
      <x:c r="A7" s="13" t="str">
        <x:v>CP062</x:v>
      </x:c>
      <x:c r="B7" s="13" t="str">
        <x:v>tahu goreng</x:v>
      </x:c>
      <x:c r="C7" s="15" t="n">
        <x:v>50</x:v>
      </x:c>
      <x:c r="D7" s="15" t="n">
        <x:v>100</x:v>
      </x:c>
      <x:c r="E7" s="15" t="n">
        <x:v>150</x:v>
      </x:c>
      <x:c r="F7" s="13" t="str">
        <x:v>±1 potong</x:v>
      </x:c>
      <x:c r="G7" s="13" t="str">
        <x:v>±2 potong</x:v>
      </x:c>
      <x:c r="H7" s="13" t="str">
        <x:v>±3 potong</x:v>
      </x:c>
      <x:c r="I7" s="14" t="str">
        <x:v>Kemenkes: tahu 100 g ≈ 2 potong sedang; angka setelah digoreng belum dikonfirmasi</x:v>
      </x:c>
      <x:c r="J7" s="16" t="str">
        <x:v>Perlu timbang matang</x:v>
      </x:c>
    </x:row>
    <x:row r="8" ht="48" customHeight="1">
      <x:c r="A8" s="13" t="str">
        <x:v>CP083</x:v>
      </x:c>
      <x:c r="B8" s="13" t="str">
        <x:v>tempe goreng</x:v>
      </x:c>
      <x:c r="C8" s="15" t="n">
        <x:v>25</x:v>
      </x:c>
      <x:c r="D8" s="15" t="n">
        <x:v>50</x:v>
      </x:c>
      <x:c r="E8" s="15" t="n">
        <x:v>75</x:v>
      </x:c>
      <x:c r="F8" s="13" t="str">
        <x:v>±1 potong</x:v>
      </x:c>
      <x:c r="G8" s="13" t="str">
        <x:v>±2 potong</x:v>
      </x:c>
      <x:c r="H8" s="13" t="str">
        <x:v>±3 potong</x:v>
      </x:c>
      <x:c r="I8" s="14" t="str">
        <x:v>Kemenkes: tempe 50 g ≈ 2 potong sedang; angka setelah digoreng belum dikonfirmasi</x:v>
      </x:c>
      <x:c r="J8" s="16" t="str">
        <x:v>Perlu timbang matang</x:v>
      </x:c>
    </x:row>
    <x:row r="9" ht="48" customHeight="1">
      <x:c r="A9" s="13" t="str">
        <x:v>FP024</x:v>
      </x:c>
      <x:c r="B9" s="13" t="str">
        <x:v>ayam goreng paha</x:v>
      </x:c>
      <x:c r="C9" s="15" t="n">
        <x:v>60</x:v>
      </x:c>
      <x:c r="D9" s="15" t="n">
        <x:v>100</x:v>
      </x:c>
      <x:c r="E9" s="15" t="n">
        <x:v>140</x:v>
      </x:c>
      <x:c r="F9" s="13" t="str">
        <x:v>paha kecil</x:v>
      </x:c>
      <x:c r="G9" s="13" t="str">
        <x:v>paha sedang</x:v>
      </x:c>
      <x:c r="H9" s="13" t="str">
        <x:v>paha besar</x:v>
      </x:c>
      <x:c r="I9" s="14" t="str">
        <x:v>Hipotesis BPK berat bagian yang dimakan, tanpa tulang; tidak diturunkan dari bobot ayam mentah</x:v>
      </x:c>
      <x:c r="J9" s="16" t="str">
        <x:v>Perlu timbang tanpa tulang</x:v>
      </x:c>
    </x:row>
    <x:row r="10" ht="48" customHeight="1">
      <x:c r="A10" s="13" t="str">
        <x:v>AP085</x:v>
      </x:c>
      <x:c r="B10" s="13" t="str">
        <x:v>mie ayam</x:v>
      </x:c>
      <x:c r="C10" s="15" t="n">
        <x:v>200</x:v>
      </x:c>
      <x:c r="D10" s="15" t="n">
        <x:v>300</x:v>
      </x:c>
      <x:c r="E10" s="15" t="n">
        <x:v>400</x:v>
      </x:c>
      <x:c r="F10" s="13" t="str">
        <x:v>mangkuk kecil</x:v>
      </x:c>
      <x:c r="G10" s="13" t="str">
        <x:v>mangkuk sedang</x:v>
      </x:c>
      <x:c r="H10" s="13" t="str">
        <x:v>mangkuk besar</x:v>
      </x:c>
      <x:c r="I10" s="14" t="str">
        <x:v>Hipotesis BPK untuk total hidangan matang termasuk kuah/topping standar</x:v>
      </x:c>
      <x:c r="J10" s="16" t="str">
        <x:v>Perlu timbang kios</x:v>
      </x:c>
    </x:row>
    <x:row r="11" ht="48" customHeight="1">
      <x:c r="A11" s="13" t="str">
        <x:v>AP086</x:v>
      </x:c>
      <x:c r="B11" s="13" t="str">
        <x:v>mie bakso</x:v>
      </x:c>
      <x:c r="C11" s="15" t="n">
        <x:v>200</x:v>
      </x:c>
      <x:c r="D11" s="15" t="n">
        <x:v>300</x:v>
      </x:c>
      <x:c r="E11" s="15" t="n">
        <x:v>400</x:v>
      </x:c>
      <x:c r="F11" s="13" t="str">
        <x:v>mangkuk kecil</x:v>
      </x:c>
      <x:c r="G11" s="13" t="str">
        <x:v>mangkuk sedang</x:v>
      </x:c>
      <x:c r="H11" s="13" t="str">
        <x:v>mangkuk besar</x:v>
      </x:c>
      <x:c r="I11" s="14" t="str">
        <x:v>Hipotesis BPK untuk total hidangan matang termasuk kuah dan bakso</x:v>
      </x:c>
      <x:c r="J11" s="16" t="str">
        <x:v>Perlu timbang kios</x:v>
      </x:c>
    </x:row>
    <x:row r="12" ht="48" customHeight="1">
      <x:c r="A12" s="13" t="str">
        <x:v>AP031</x:v>
      </x:c>
      <x:c r="B12" s="13" t="str">
        <x:v>bakwan</x:v>
      </x:c>
      <x:c r="C12" s="15" t="n">
        <x:v>25</x:v>
      </x:c>
      <x:c r="D12" s="15" t="n">
        <x:v>50</x:v>
      </x:c>
      <x:c r="E12" s="15" t="n">
        <x:v>75</x:v>
      </x:c>
      <x:c r="F12" s="13" t="str">
        <x:v>1 buah kecil</x:v>
      </x:c>
      <x:c r="G12" s="13" t="str">
        <x:v>1 buah sedang</x:v>
      </x:c>
      <x:c r="H12" s="13" t="str">
        <x:v>1 buah besar</x:v>
      </x:c>
      <x:c r="I12" s="14" t="str">
        <x:v>Hipotesis BPK; berat gorengan dan serapan minyak sangat bervariasi</x:v>
      </x:c>
      <x:c r="J12" s="16" t="str">
        <x:v>Perlu timbang gorengan</x:v>
      </x:c>
    </x:row>
    <x:row r="13" ht="48" customHeight="1">
      <x:c r="A13" s="13" t="str">
        <x:v>FP076</x:v>
      </x:c>
      <x:c r="B13" s="13" t="str">
        <x:v>soto betawi</x:v>
      </x:c>
      <x:c r="C13" s="15" t="n">
        <x:v>150</x:v>
      </x:c>
      <x:c r="D13" s="15" t="n">
        <x:v>250</x:v>
      </x:c>
      <x:c r="E13" s="15" t="n">
        <x:v>350</x:v>
      </x:c>
      <x:c r="F13" s="13" t="str">
        <x:v>mangkuk kecil</x:v>
      </x:c>
      <x:c r="G13" s="13" t="str">
        <x:v>mangkuk sedang</x:v>
      </x:c>
      <x:c r="H13" s="13" t="str">
        <x:v>mangkuk besar</x:v>
      </x:c>
      <x:c r="I13" s="14" t="str">
        <x:v>Hipotesis BPK untuk hidangan berkuah; banyak kuah bisa mengubah kkal per gram</x:v>
      </x:c>
      <x:c r="J13" s="16" t="str">
        <x:v>Perlu timbang komponen</x:v>
      </x:c>
    </x:row>
    <x:row r="14" ht="48" customHeight="1">
      <x:c r="A14" s="13" t="str">
        <x:v>FP062</x:v>
      </x:c>
      <x:c r="B14" s="13" t="str">
        <x:v>rendang sapi</x:v>
      </x:c>
      <x:c r="C14" s="15" t="n">
        <x:v>50</x:v>
      </x:c>
      <x:c r="D14" s="15" t="n">
        <x:v>100</x:v>
      </x:c>
      <x:c r="E14" s="15" t="n">
        <x:v>150</x:v>
      </x:c>
      <x:c r="F14" s="13" t="str">
        <x:v>1 potong kecil</x:v>
      </x:c>
      <x:c r="G14" s="13" t="str">
        <x:v>1 potong sedang</x:v>
      </x:c>
      <x:c r="H14" s="13" t="str">
        <x:v>1 potong besar</x:v>
      </x:c>
      <x:c r="I14" s="14" t="str">
        <x:v>Hipotesis BPK berat rendang matang yang dapat dimakan</x:v>
      </x:c>
      <x:c r="J14" s="16" t="str">
        <x:v>Perlu timbang matang</x:v>
      </x:c>
    </x:row>
    <x:row r="15" ht="48" customHeight="1">
      <x:c r="A15" s="13" t="str">
        <x:v>AP092</x:v>
      </x:c>
      <x:c r="B15" s="13" t="str">
        <x:v>nasi rames</x:v>
      </x:c>
      <x:c r="C15" s="15" t="n">
        <x:v>200</x:v>
      </x:c>
      <x:c r="D15" s="15" t="n">
        <x:v>300</x:v>
      </x:c>
      <x:c r="E15" s="15" t="n">
        <x:v>400</x:v>
      </x:c>
      <x:c r="F15" s="13" t="str">
        <x:v>piring kecil</x:v>
      </x:c>
      <x:c r="G15" s="13" t="str">
        <x:v>piring sedang</x:v>
      </x:c>
      <x:c r="H15" s="13" t="str">
        <x:v>piring besar</x:v>
      </x:c>
      <x:c r="I15" s="14" t="str">
        <x:v>Hipotesis BPK untuk campuran nasi, lauk, dan sayur; komposisi sangat bervariasi</x:v>
      </x:c>
      <x:c r="J15" s="16" t="str">
        <x:v>Perlu resep/komponen</x:v>
      </x:c>
    </x:row>
    <x:row r="18" ht="42" customHeight="1">
      <x:c r="A18" t="str">
        <x:v>Metode</x:v>
      </x:c>
      <x:c r="B18" s="7" t="str">
        <x:v>Kkal porsi = kkal per 100 g TKPI × berat porsi matang / 100, dibulatkan ke kkal utuh. Semua komponen yang masuk sajian perlu tercakup.</x:v>
      </x:c>
    </x:row>
    <x:row r="19" ht="42" customHeight="1">
      <x:c r="A19" t="str">
        <x:v>Rujukan URT</x:v>
      </x:c>
      <x:c r="B19" s="7" t="str">
        <x:v>https://jdih.kemkes.go.id/storage/documents/pdfs/2014permenkes041.pdf</x:v>
      </x:c>
    </x:row>
    <x:row r="20" ht="42" customHeight="1">
      <x:c r="A20" t="str">
        <x:v>Status sumber</x:v>
      </x:c>
      <x:c r="B20" s="7" t="str">
        <x:v>Kemenkes mendukung acuan nasi 100 g, tempe 50 g, dan tahu 100 g. Nilai kecil/besar serta delapan porsi sajian lain adalah keputusan awal BPK untuk diuji.</x:v>
      </x:c>
    </x:row>
    <x:row r="21" ht="42" customHeight="1">
      <x:c r="A21" t="str">
        <x:v>Uji lapangan</x:v>
      </x:c>
      <x:c r="B21" s="7" t="str">
        <x:v>Timbang sedikitnya 5 sajian dari 3 penjual per menu prioritas; catat berat total dan komponen, lalu revisi median porsi. Sampel ini usulan metode produk, bukan standar Kemenkes.</x:v>
      </x:c>
    </x:row>
  </x:sheetData>
  <x:pageMargins left="0.7" right="0.7" top="0.75" bottom="0.75" header="0.3" footer="0.3"/>
</x:worksheet>
</file>