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e183d8eeb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9f2f15d104b8455b"/>
    <x:sheet xmlns:r="http://schemas.openxmlformats.org/officeDocument/2006/relationships" name="Langkah" sheetId="2" r:id="R24fe1dfbc975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sz val="10"/>
      <x:color rgb="FF172B22"/>
      <x:name val="Arial"/>
    </x:font>
    <x:font>
      <x:b/>
      <x:sz val="10"/>
      <x:color rgb="FFFFFFFF"/>
      <x:name val="Arial"/>
    </x:font>
    <x:font>
      <x:b/>
      <x:sz val="16"/>
      <x:color rgb="FF172B22"/>
      <x:name val="Arial"/>
    </x:font>
    <x:font>
      <x:sz val="10"/>
      <x:color rgb="FF6A7B70"/>
      <x:name val="Arial"/>
    </x:font>
    <x:font>
      <x:sz val="11"/>
      <x:color rgb="FF172B22"/>
      <x:name val="Arial"/>
    </x:font>
    <x:font>
      <x:b/>
      <x:sz val="11"/>
      <x:color rgb="FF172B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5D44"/>
      </x:patternFill>
    </x:fill>
    <x:fill>
      <x:patternFill patternType="solid">
        <x:fgColor rgb="FFF5F8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0" fontId="5" fillId="0" borderId="0" xfId="0" applyNumberFormat="1" applyFont="1" applyFill="1" applyBorder="1"/>
    <x:xf numFmtId="0" fontId="0" fillId="2" borderId="0" xfId="0" applyNumberFormat="1" applyFont="1" applyFill="1" applyBorder="1"/>
    <x:xf numFmtId="200" fontId="1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45D44"/>
      </x:font>
      <x:fill>
        <x:patternFill>
          <x:bgColor rgb="FFDDEFE1"/>
        </x:patternFill>
      </x:fill>
    </x:dxf>
    <x:dxf>
      <x:font>
        <x:color rgb="FF8A5D08"/>
      </x:font>
      <x:fill>
        <x:patternFill>
          <x:bgColor rgb="FFFFF1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94116b1304474" /><Relationship Type="http://schemas.openxmlformats.org/officeDocument/2006/relationships/theme" Target="/xl/theme/theme1.xml" Id="R108bc34ef5764f58" /><Relationship Type="http://schemas.openxmlformats.org/officeDocument/2006/relationships/sharedStrings" Target="/xl/sharedStrings.xml" Id="R824aff74ea9d40ff" /><Relationship Type="http://schemas.openxmlformats.org/officeDocument/2006/relationships/worksheet" Target="/xl/worksheets/sheet1.xml" Id="R9f2f15d104b8455b" /><Relationship Type="http://schemas.openxmlformats.org/officeDocument/2006/relationships/worksheet" Target="/xl/worksheets/sheet2.xml" Id="R24fe1dfbc9754d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646f75d3554c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Langkah selesai dan belum per fase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Selesai</c:v>
          </c:tx>
          <c:spPr>
            <a:solidFill xmlns:a="http://schemas.openxmlformats.org/drawingml/2006/main">
              <a:srgbClr val="4A9D69"/>
            </a:solidFill>
          </c:spPr>
          <c:invertIfNegative val="0"/>
          <c:cat>
            <c:strRef>
              <c:f>'Ringkasan'!$A$10:$A$15</c:f>
              <c:strCache>
                <c:ptCount val="0"/>
              </c:strCache>
            </c:strRef>
          </c:cat>
          <c:val>
            <c:numRef>
              <c:f>'Ringkasan'!$B$10:$B$15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Belum</c:v>
          </c:tx>
          <c:spPr>
            <a:solidFill xmlns:a="http://schemas.openxmlformats.org/drawingml/2006/main">
              <a:srgbClr val="E6C16E"/>
            </a:solidFill>
          </c:spPr>
          <c:invertIfNegative val="0"/>
          <c:cat>
            <c:strRef>
              <c:f>'Ringkasan'!$A$10:$A$15</c:f>
              <c:strCache>
                <c:ptCount val="0"/>
              </c:strCache>
            </c:strRef>
          </c:cat>
          <c:val>
            <c:numRef>
              <c:f>'Ringkasan'!$C$10:$C$15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646f75d3554c5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angkahBPK" displayName="LangkahBPK" ref="A1:D55" headerRowCount="1" totalsRowCount="0" totalsRowShown="0">
  <x:autoFilter ref="A1:D55"/>
  <x:tableColumns count="4">
    <x:tableColumn id="1" name="ID"/>
    <x:tableColumn id="2" name="Fase"/>
    <x:tableColumn id="3" name="Langkah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f6048faf3b4d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07f4e66f744c3e" /></Relationships>
</file>

<file path=xl/worksheets/sheet1.xml><?xml version="1.0" encoding="utf-8"?>
<x:worksheet xmlns:x="http://schemas.openxmlformats.org/spreadsheetml/2006/main">
  <x:sheetPr>
    <x:tabColor rgb="FF145D44"/>
  </x:sheetPr>
  <x:sheetViews>
    <x:sheetView showGridLines="0" workbookViewId="0"/>
  </x:sheetViews>
  <x:sheetFormatPr defaultRowHeight="15"/>
  <x:cols>
    <x:col min="1" max="1" width="45" hidden="0" customWidth="1"/>
    <x:col min="2" max="2" width="12" hidden="0" customWidth="1"/>
    <x:col min="3" max="3" width="12" hidden="0" customWidth="1"/>
    <x:col min="4" max="4" width="15" hidden="0" customWidth="1"/>
    <x:col min="5" max="5" width="3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</x:cols>
  <x:sheetData>
    <x:row r="2">
      <x:c r="A2" s="8" t="str">
        <x:v>Progres pembangunan BPK</x:v>
      </x:c>
    </x:row>
    <x:row r="3">
      <x:c r="A3" s="9" t="str">
        <x:v>17 Oktober 2026 | target: aplikasi berjalan di browser lokal</x:v>
      </x:c>
    </x:row>
    <x:row r="5" ht="27" customHeight="1">
      <x:c r="A5" s="3" t="str">
        <x:v>Ukuran</x:v>
      </x:c>
      <x:c r="B5" s="3" t="str">
        <x:v>Selesai</x:v>
      </x:c>
      <x:c r="C5" s="3" t="str">
        <x:v>Total</x:v>
      </x:c>
      <x:c r="D5" s="3" t="str">
        <x:v>Progres</x:v>
      </x:c>
    </x:row>
    <x:row r="6" ht="34" customHeight="1">
      <x:c r="A6" s="12" t="str">
        <x:v>Keseluruhan</x:v>
      </x:c>
      <x:c r="B6" s="12" t="n">
        <x:f>COUNTIF(Langkah!$D$2:$D$55,"Selesai")</x:f>
        <x:v>22</x:v>
      </x:c>
      <x:c r="C6" s="12" t="n">
        <x:f>COUNTA(Langkah!$A$2:$A$55)</x:f>
        <x:v>54</x:v>
      </x:c>
      <x:c r="D6" s="13" t="n">
        <x:f>IFERROR(B6/C6,0)</x:f>
        <x:v>0.4074074074074074</x:v>
      </x:c>
    </x:row>
    <x:row r="7" ht="34" customHeight="1">
      <x:c r="A7" s="10" t="str">
        <x:v>Aplikasi dan pengujian</x:v>
      </x:c>
      <x:c r="B7" s="10" t="n">
        <x:f>COUNTIFS(Langkah!$A$2:$A$55,"&gt;=33",Langkah!$D$2:$D$55,"Selesai")</x:f>
        <x:v>0</x:v>
      </x:c>
      <x:c r="C7" s="10" t="n">
        <x:f>COUNTIF(Langkah!$A$2:$A$55,"&gt;=33")</x:f>
        <x:v>22</x:v>
      </x:c>
      <x:c r="D7" s="14" t="n">
        <x:f>IFERROR(B7/C7,0)</x:f>
        <x:v>0</x:v>
      </x:c>
    </x:row>
    <x:row r="9" ht="27" customHeight="1">
      <x:c r="A9" s="3" t="str">
        <x:v>Fase</x:v>
      </x:c>
      <x:c r="B9" s="3" t="str">
        <x:v>Selesai</x:v>
      </x:c>
      <x:c r="C9" s="3" t="str">
        <x:v>Belum</x:v>
      </x:c>
      <x:c r="D9" s="3" t="str">
        <x:v>Progres</x:v>
      </x:c>
    </x:row>
    <x:row r="10" ht="32" customHeight="1">
      <x:c r="A10" s="1" t="str">
        <x:v>Fase 1. Ide dan keputusan produk awal</x:v>
      </x:c>
      <x:c r="B10" s="1" t="n">
        <x:f>COUNTIFS(Langkah!$B$2:$B$55,A10,Langkah!$D$2:$D$55,"Selesai")</x:f>
        <x:v>10</x:v>
      </x:c>
      <x:c r="C10" s="1" t="n">
        <x:f>COUNTIFS(Langkah!$B$2:$B$55,A10,Langkah!$D$2:$D$55,"Belum")</x:f>
        <x:v>0</x:v>
      </x:c>
      <x:c r="D10" s="16" t="n">
        <x:f>IFERROR(B10/(B10+C10),0)</x:f>
        <x:v>1</x:v>
      </x:c>
    </x:row>
    <x:row r="11" ht="32" customHeight="1">
      <x:c r="A11" s="1" t="str">
        <x:v>Fase 2. Dokumen, wireframe, dan pilihan visual</x:v>
      </x:c>
      <x:c r="B11" s="1" t="n">
        <x:f>COUNTIFS(Langkah!$B$2:$B$55,A11,Langkah!$D$2:$D$55,"Selesai")</x:f>
        <x:v>10</x:v>
      </x:c>
      <x:c r="C11" s="1" t="n">
        <x:f>COUNTIFS(Langkah!$B$2:$B$55,A11,Langkah!$D$2:$D$55,"Belum")</x:f>
        <x:v>0</x:v>
      </x:c>
      <x:c r="D11" s="16" t="n">
        <x:f>IFERROR(B11/(B11+C11),0)</x:f>
        <x:v>1</x:v>
      </x:c>
    </x:row>
    <x:row r="12" ht="32" customHeight="1">
      <x:c r="A12" s="1" t="str">
        <x:v>Fase 3. Tutup keputusan dan siapkan bahan</x:v>
      </x:c>
      <x:c r="B12" s="1" t="n">
        <x:f>COUNTIFS(Langkah!$B$2:$B$55,A12,Langkah!$D$2:$D$55,"Selesai")</x:f>
        <x:v>2</x:v>
      </x:c>
      <x:c r="C12" s="1" t="n">
        <x:f>COUNTIFS(Langkah!$B$2:$B$55,A12,Langkah!$D$2:$D$55,"Belum")</x:f>
        <x:v>10</x:v>
      </x:c>
      <x:c r="D12" s="16" t="n">
        <x:f>IFERROR(B12/(B12+C12),0)</x:f>
        <x:v>0.16666666666666666</x:v>
      </x:c>
    </x:row>
    <x:row r="13" ht="32" customHeight="1">
      <x:c r="A13" s="1" t="str">
        <x:v>Fase 4. Fondasi aplikasi lokal</x:v>
      </x:c>
      <x:c r="B13" s="1" t="n">
        <x:f>COUNTIFS(Langkah!$B$2:$B$55,A13,Langkah!$D$2:$D$55,"Selesai")</x:f>
        <x:v>0</x:v>
      </x:c>
      <x:c r="C13" s="1" t="n">
        <x:f>COUNTIFS(Langkah!$B$2:$B$55,A13,Langkah!$D$2:$D$55,"Belum")</x:f>
        <x:v>7</x:v>
      </x:c>
      <x:c r="D13" s="16" t="n">
        <x:f>IFERROR(B13/(B13+C13),0)</x:f>
        <x:v>0</x:v>
      </x:c>
    </x:row>
    <x:row r="14" ht="32" customHeight="1">
      <x:c r="A14" s="1" t="str">
        <x:v>Fase 5. Alur pencatatan dan foodcourt</x:v>
      </x:c>
      <x:c r="B14" s="1" t="n">
        <x:f>COUNTIFS(Langkah!$B$2:$B$55,A14,Langkah!$D$2:$D$55,"Selesai")</x:f>
        <x:v>0</x:v>
      </x:c>
      <x:c r="C14" s="1" t="n">
        <x:f>COUNTIFS(Langkah!$B$2:$B$55,A14,Langkah!$D$2:$D$55,"Belum")</x:f>
        <x:v>10</x:v>
      </x:c>
      <x:c r="D14" s="16" t="n">
        <x:f>IFERROR(B14/(B14+C14),0)</x:f>
        <x:v>0</x:v>
      </x:c>
    </x:row>
    <x:row r="15" ht="32" customHeight="1">
      <x:c r="A15" s="1" t="str">
        <x:v>Fase 6. Uji dan serah terima lokal</x:v>
      </x:c>
      <x:c r="B15" s="1" t="n">
        <x:f>COUNTIFS(Langkah!$B$2:$B$55,A15,Langkah!$D$2:$D$55,"Selesai")</x:f>
        <x:v>0</x:v>
      </x:c>
      <x:c r="C15" s="1" t="n">
        <x:f>COUNTIFS(Langkah!$B$2:$B$55,A15,Langkah!$D$2:$D$55,"Belum")</x:f>
        <x:v>5</x:v>
      </x:c>
      <x:c r="D15" s="16" t="n">
        <x:f>IFERROR(B15/(B15+C15),0)</x:f>
        <x:v>0</x:v>
      </x:c>
    </x:row>
    <x:row r="18">
      <x:c r="A18" s="17" t="str">
        <x:v>Cara memperbarui</x:v>
      </x:c>
    </x:row>
    <x:row r="19">
      <x:c r="A19" s="9" t="str">
        <x:v>Ubah Status pada tab Langkah menjadi Selesai setelah ada bukti. Ringkasan menghitung ulang otomatis.</x:v>
      </x:c>
    </x:row>
    <x:row r="20">
      <x:c r="A20" s="9" t="str">
        <x:v>Progres keseluruhan menghitung semua langkah sama besar; kesiapan aplikasi hanya fase 4 sampai 6.</x:v>
      </x:c>
    </x:row>
    <x:row r="21">
      <x:c r="A21" s="9" t="str">
        <x:v>Dokumen dan simulasi sudah ada. Kode aplikasi dan server lokal belum dibuat.</x:v>
      </x:c>
    </x:row>
  </x:sheetData>
  <x:conditionalFormatting sqref="D6:D7">
    <x:cfRule type="dataBar" priority="1">
      <x:dataBar>
        <x:cfvo type="min"/>
        <x:cfvo type="max"/>
        <x:color rgb="FF79BD8D"/>
      </x:dataBar>
      <x:extLst>
        <x:ext xmlns:x14="http://schemas.microsoft.com/office/spreadsheetml/2009/9/main" uri="{B025F937-C7B1-47D3-B67F-A62EFF666E3E}">
          <x14:id>97365fbe-fe91-46f0-a711-d2714530fa88</x14:id>
        </x:ext>
      </x:extLst>
    </x:cfRule>
  </x:conditionalFormatting>
  <x:conditionalFormatting sqref="D10:D15">
    <x:cfRule type="dataBar" priority="2">
      <x:dataBar>
        <x:cfvo type="min"/>
        <x:cfvo type="max"/>
        <x:color rgb="FF79BD8D"/>
      </x:dataBar>
      <x:extLst>
        <x:ext xmlns:x14="http://schemas.microsoft.com/office/spreadsheetml/2009/9/main" uri="{B025F937-C7B1-47D3-B67F-A62EFF666E3E}">
          <x14:id>ea813c0f-45e2-46f1-a178-00eb6fae3c8a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4f6048faf3b4d4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97365fbe-fe91-46f0-a711-d2714530fa88">
            <x14:dataBar gradient="0">
              <x14:cfvo type="min"/>
              <x14:cfvo type="max"/>
              <x14:fillColor rgb="FF79BD8D"/>
            </x14:dataBar>
          </x14:cfRule>
          <xm:sqref>D6:D7</xm:sqref>
        </x14:conditionalFormatting>
        <x14:conditionalFormatting>
          <x14:cfRule type="dataBar" priority="2" id="ea813c0f-45e2-46f1-a178-00eb6fae3c8a">
            <x14:dataBar gradient="0">
              <x14:cfvo type="min"/>
              <x14:cfvo type="max"/>
              <x14:fillColor rgb="FF79BD8D"/>
            </x14:dataBar>
          </x14:cfRule>
          <xm:sqref>D10:D15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Pr>
    <x:tabColor rgb="FF77AD8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40" hidden="0" customWidth="1"/>
    <x:col min="3" max="3" width="105" hidden="0" customWidth="1"/>
    <x:col min="4" max="4" width="15" hidden="0" customWidth="1"/>
  </x:cols>
  <x:sheetData>
    <x:row r="1" ht="29" customHeight="1">
      <x:c r="A1" s="4" t="str">
        <x:v>ID</x:v>
      </x:c>
      <x:c r="B1" s="4" t="str">
        <x:v>Fase</x:v>
      </x:c>
      <x:c r="C1" s="4" t="str">
        <x:v>Langkah</x:v>
      </x:c>
      <x:c r="D1" s="4" t="str">
        <x:v>Status</x:v>
      </x:c>
    </x:row>
    <x:row r="2" ht="32" customHeight="1">
      <x:c r="A2" s="6" t="n">
        <x:v>1</x:v>
      </x:c>
      <x:c r="B2" s="6" t="str">
        <x:v>Fase 1. Ide dan keputusan produk awal</x:v>
      </x:c>
      <x:c r="C2" s="7" t="str">
        <x:v>Tentukan masalah: pemula sulit konsisten mencatat makanan, menemukan makanan Indonesia, dan menaksir porsi.</x:v>
      </x:c>
      <x:c r="D2" s="6" t="str">
        <x:v>Selesai</x:v>
      </x:c>
    </x:row>
    <x:row r="3" ht="32" customHeight="1">
      <x:c r="A3" s="6" t="n">
        <x:v>2</x:v>
      </x:c>
      <x:c r="B3" s="6" t="str">
        <x:v>Fase 1. Ide dan keputusan produk awal</x:v>
      </x:c>
      <x:c r="C3" s="7" t="str">
        <x:v>Tentukan metafora utama: kalori menjadi mata uang dalam dompet harian. Bayar berarti mencatat makanan yang sudah dimakan, bukan transaksi uang.</x:v>
      </x:c>
      <x:c r="D3" s="6" t="str">
        <x:v>Selesai</x:v>
      </x:c>
    </x:row>
    <x:row r="4" ht="32" customHeight="1">
      <x:c r="A4" s="6" t="n">
        <x:v>3</x:v>
      </x:c>
      <x:c r="B4" s="6" t="str">
        <x:v>Fase 1. Ide dan keputusan produk awal</x:v>
      </x:c>
      <x:c r="C4" s="7" t="str">
        <x:v>Tetapkan foodcourt sebagai lingkungan visual isometrik, menggantikan konsep pasar.</x:v>
      </x:c>
      <x:c r="D4" s="6" t="str">
        <x:v>Selesai</x:v>
      </x:c>
    </x:row>
    <x:row r="5" ht="32" customHeight="1">
      <x:c r="A5" s="6" t="n">
        <x:v>4</x:v>
      </x:c>
      <x:c r="B5" s="6" t="str">
        <x:v>Fase 1. Ide dan keputusan produk awal</x:v>
      </x:c>
      <x:c r="C5" s="7" t="str">
        <x:v>Tetapkan pencarian makanan sebagai jalur tercepat. Pengguna tidak wajib menjelajahi foodcourt untuk mencatat.</x:v>
      </x:c>
      <x:c r="D5" s="6" t="str">
        <x:v>Selesai</x:v>
      </x:c>
    </x:row>
    <x:row r="6" ht="32" customHeight="1">
      <x:c r="A6" s="6" t="n">
        <x:v>5</x:v>
      </x:c>
      <x:c r="B6" s="6" t="str">
        <x:v>Fase 1. Ide dan keputusan produk awal</x:v>
      </x:c>
      <x:c r="C6" s="7" t="str">
        <x:v>Tetapkan kios berdasarkan jenis penjual dan eksplorasi 10 kios sebagai arah rancangan.</x:v>
      </x:c>
      <x:c r="D6" s="6" t="str">
        <x:v>Selesai</x:v>
      </x:c>
    </x:row>
    <x:row r="7" ht="32" customHeight="1">
      <x:c r="A7" s="6" t="n">
        <x:v>6</x:v>
      </x:c>
      <x:c r="B7" s="6" t="str">
        <x:v>Fase 1. Ide dan keputusan produk awal</x:v>
      </x:c>
      <x:c r="C7" s="7" t="str">
        <x:v>Tetapkan satu makanan per tindakan Bayar; beberapa makanan dapat tercatat berturut-turut dan muncul di meja harian.</x:v>
      </x:c>
      <x:c r="D7" s="6" t="str">
        <x:v>Selesai</x:v>
      </x:c>
    </x:row>
    <x:row r="8" ht="32" customHeight="1">
      <x:c r="A8" s="6" t="n">
        <x:v>7</x:v>
      </x:c>
      <x:c r="B8" s="6" t="str">
        <x:v>Fase 1. Ide dan keputusan produk awal</x:v>
      </x:c>
      <x:c r="C8" s="7" t="str">
        <x:v>Tetapkan porsi kecil/sedang/besar dengan acuan sehari-hari; koreksi ½× dan 2× gratis.</x:v>
      </x:c>
      <x:c r="D8" s="6" t="str">
        <x:v>Selesai</x:v>
      </x:c>
    </x:row>
    <x:row r="9" ht="32" customHeight="1">
      <x:c r="A9" s="6" t="n">
        <x:v>8</x:v>
      </x:c>
      <x:c r="B9" s="6" t="str">
        <x:v>Fase 1. Ide dan keputusan produk awal</x:v>
      </x:c>
      <x:c r="C9" s="7" t="str">
        <x:v>Tetapkan ringkasan dompet “Terpakai X / Y kkal” dan “Sisa Z kkal”; pengguna tetap boleh mencatat ketika melewati anggaran.</x:v>
      </x:c>
      <x:c r="D9" s="6" t="str">
        <x:v>Selesai</x:v>
      </x:c>
    </x:row>
    <x:row r="10" ht="32" customHeight="1">
      <x:c r="A10" s="6" t="n">
        <x:v>9</x:v>
      </x:c>
      <x:c r="B10" s="6" t="str">
        <x:v>Fase 1. Ide dan keputusan produk awal</x:v>
      </x:c>
      <x:c r="C10" s="7" t="str">
        <x:v>Tetapkan riwayat, edit/hapus, salin menu kemarin, dan makanan buatan pengguna sebagai lingkup versi pertama. Foto makanan dan editor bahan/topping detail ditunda.</x:v>
      </x:c>
      <x:c r="D10" s="6" t="str">
        <x:v>Selesai</x:v>
      </x:c>
    </x:row>
    <x:row r="11" ht="32" customHeight="1">
      <x:c r="A11" s="6" t="n">
        <x:v>10</x:v>
      </x:c>
      <x:c r="B11" s="6" t="str">
        <x:v>Fase 1. Ide dan keputusan produk awal</x:v>
      </x:c>
      <x:c r="C11" s="7" t="str">
        <x:v>Tetapkan alur visual: setelah pencatatan berhasil, kalori keluar dari dompet dan kurir membawa makanan dari kios menuju meja.</x:v>
      </x:c>
      <x:c r="D11" s="6" t="str">
        <x:v>Selesai</x:v>
      </x:c>
    </x:row>
    <x:row r="12" ht="32" customHeight="1">
      <x:c r="A12" s="6" t="n">
        <x:v>11</x:v>
      </x:c>
      <x:c r="B12" s="6" t="str">
        <x:v>Fase 2. Dokumen, wireframe, dan pilihan visual</x:v>
      </x:c>
      <x:c r="C12" s="7" t="str">
        <x:v>Buat Product Brief: `docs/BPK Product Brief.docx`.</x:v>
      </x:c>
      <x:c r="D12" s="6" t="str">
        <x:v>Selesai</x:v>
      </x:c>
    </x:row>
    <x:row r="13" ht="32" customHeight="1">
      <x:c r="A13" s="6" t="n">
        <x:v>12</x:v>
      </x:c>
      <x:c r="B13" s="6" t="str">
        <x:v>Fase 2. Dokumen, wireframe, dan pilihan visual</x:v>
      </x:c>
      <x:c r="C13" s="7" t="str">
        <x:v>Buat PRD: `docs/BPK PRD.docx`.</x:v>
      </x:c>
      <x:c r="D13" s="6" t="str">
        <x:v>Selesai</x:v>
      </x:c>
    </x:row>
    <x:row r="14" ht="32" customHeight="1">
      <x:c r="A14" s="6" t="n">
        <x:v>13</x:v>
      </x:c>
      <x:c r="B14" s="6" t="str">
        <x:v>Fase 2. Dokumen, wireframe, dan pilihan visual</x:v>
      </x:c>
      <x:c r="C14" s="7" t="str">
        <x:v>Buat dokumentasi teknis: `docs/BPK Technical Documentation.docx`.</x:v>
      </x:c>
      <x:c r="D14" s="6" t="str">
        <x:v>Selesai</x:v>
      </x:c>
    </x:row>
    <x:row r="15" ht="32" customHeight="1">
      <x:c r="A15" s="6" t="n">
        <x:v>14</x:v>
      </x:c>
      <x:c r="B15" s="6" t="str">
        <x:v>Fase 2. Dokumen, wireframe, dan pilihan visual</x:v>
      </x:c>
      <x:c r="C15" s="7" t="str">
        <x:v>Buat daftar UAT dan edge cases: `docs/BPK UAT dan Edge Cases.docx`.</x:v>
      </x:c>
      <x:c r="D15" s="6" t="str">
        <x:v>Selesai</x:v>
      </x:c>
    </x:row>
    <x:row r="16" ht="32" customHeight="1">
      <x:c r="A16" s="6" t="n">
        <x:v>15</x:v>
      </x:c>
      <x:c r="B16" s="6" t="str">
        <x:v>Fase 2. Dokumen, wireframe, dan pilihan visual</x:v>
      </x:c>
      <x:c r="C16" s="7" t="str">
        <x:v>Buat Design Brief: `docs/BPK Design Brief.docx`.</x:v>
      </x:c>
      <x:c r="D16" s="6" t="str">
        <x:v>Selesai</x:v>
      </x:c>
    </x:row>
    <x:row r="17" ht="32" customHeight="1">
      <x:c r="A17" s="6" t="n">
        <x:v>16</x:v>
      </x:c>
      <x:c r="B17" s="6" t="str">
        <x:v>Fase 2. Dokumen, wireframe, dan pilihan visual</x:v>
      </x:c>
      <x:c r="C17" s="7" t="str">
        <x:v>Buat wireframe awal dan versi foodcourt yang bisa dijelajahi pada folder visualisasi proyek.</x:v>
      </x:c>
      <x:c r="D17" s="6" t="str">
        <x:v>Selesai</x:v>
      </x:c>
    </x:row>
    <x:row r="18" ht="32" customHeight="1">
      <x:c r="A18" s="6" t="n">
        <x:v>17</x:v>
      </x:c>
      <x:c r="B18" s="6" t="str">
        <x:v>Fase 2. Dokumen, wireframe, dan pilihan visual</x:v>
      </x:c>
      <x:c r="C18" s="7" t="str">
        <x:v>Buat simulasi 10 kios dan wireframe semua skenario pada folder visualisasi proyek.</x:v>
      </x:c>
      <x:c r="D18" s="6" t="str">
        <x:v>Selesai</x:v>
      </x:c>
    </x:row>
    <x:row r="19" ht="32" customHeight="1">
      <x:c r="A19" s="6" t="n">
        <x:v>18</x:v>
      </x:c>
      <x:c r="B19" s="6" t="str">
        <x:v>Fase 2. Dokumen, wireframe, dan pilihan visual</x:v>
      </x:c>
      <x:c r="C19" s="7" t="str">
        <x:v>Revisi simulasi mengikuti alur Bayar → dompet → kurir → meja, lalu ringkas panel pemilihan makanan agar isometrik tetap dominan.</x:v>
      </x:c>
      <x:c r="D19" s="6" t="str">
        <x:v>Selesai</x:v>
      </x:c>
    </x:row>
    <x:row r="20" ht="32" customHeight="1">
      <x:c r="A20" s="6" t="n">
        <x:v>19</x:v>
      </x:c>
      <x:c r="B20" s="6" t="str">
        <x:v>Fase 2. Dokumen, wireframe, dan pilihan visual</x:v>
      </x:c>
      <x:c r="C20" s="7" t="str">
        <x:v>Buat tiga arah desain isometrik dan pilih versi cerah dengan meja persegi panjang: `design/isometric/alternatif-grafis-cerah.png`.</x:v>
      </x:c>
      <x:c r="D20" s="6" t="str">
        <x:v>Selesai</x:v>
      </x:c>
    </x:row>
    <x:row r="21" ht="32" customHeight="1">
      <x:c r="A21" s="6" t="n">
        <x:v>20</x:v>
      </x:c>
      <x:c r="B21" s="6" t="str">
        <x:v>Fase 2. Dokumen, wireframe, dan pilihan visual</x:v>
      </x:c>
      <x:c r="C21" s="7" t="str">
        <x:v>Catat arah visual terpilih dan batas penerapannya: `design/isometric/arah-visual-terpilih.md`.</x:v>
      </x:c>
      <x:c r="D21" s="6" t="str">
        <x:v>Selesai</x:v>
      </x:c>
    </x:row>
    <x:row r="22" ht="32" customHeight="1">
      <x:c r="A22" s="6" t="n">
        <x:v>21</x:v>
      </x:c>
      <x:c r="B22" s="6" t="str">
        <x:v>Fase 3. Tutup keputusan dan siapkan bahan</x:v>
      </x:c>
      <x:c r="C22" s="7" t="str">
        <x:v>Kunci metode anggaran: input profil, tujuan, rumus, validasi, contoh perhitungan, dan tanggal berlaku. “Seperti MyFitnessPal” belum menjelaskan rumus.</x:v>
      </x:c>
      <x:c r="D22" s="6" t="str">
        <x:v>Selesai</x:v>
      </x:c>
    </x:row>
    <x:row r="23" ht="32" customHeight="1">
      <x:c r="A23" s="6" t="n">
        <x:v>22</x:v>
      </x:c>
      <x:c r="B23" s="6" t="str">
        <x:v>Fase 3. Tutup keputusan dan siapkan bahan</x:v>
      </x:c>
      <x:c r="C23" s="7" t="str">
        <x:v>Pilih mode pengguna untuk versi lokal: tanpa akun atau akun. Jelaskan konsekuensi kehilangan data dan kebutuhan lintas perangkat.</x:v>
      </x:c>
      <x:c r="D23" s="6" t="str">
        <x:v>Belum</x:v>
      </x:c>
    </x:row>
    <x:row r="24" ht="32" customHeight="1">
      <x:c r="A24" s="6" t="n">
        <x:v>23</x:v>
      </x:c>
      <x:c r="B24" s="6" t="str">
        <x:v>Fase 3. Tutup keputusan dan siapkan bahan</x:v>
      </x:c>
      <x:c r="C24" s="7" t="str">
        <x:v>Pilih penyimpanan dan stack awal. Rekomendasi yang perlu dikonfirmasi: satu proyek web TypeScript/React dengan server lokal dan SQLite; dokumentasi teknis menyebut PostgreSQL sebagai opsi jika perlu akun dan sinkronisasi.</x:v>
      </x:c>
      <x:c r="D24" s="6" t="str">
        <x:v>Belum</x:v>
      </x:c>
    </x:row>
    <x:row r="25" ht="32" customHeight="1">
      <x:c r="A25" s="6" t="n">
        <x:v>24</x:v>
      </x:c>
      <x:c r="B25" s="6" t="str">
        <x:v>Fase 3. Tutup keputusan dan siapkan bahan</x:v>
      </x:c>
      <x:c r="C25" s="7" t="str">
        <x:v>Kunci aturan tanggal: zona waktu, jam makan, pergantian hari, pencatatan mundur, dan arti “kemarin”.</x:v>
      </x:c>
      <x:c r="D25" s="6" t="str">
        <x:v>Belum</x:v>
      </x:c>
    </x:row>
    <x:row r="26" ht="32" customHeight="1">
      <x:c r="A26" s="6" t="n">
        <x:v>25</x:v>
      </x:c>
      <x:c r="B26" s="6" t="str">
        <x:v>Fase 3. Tutup keputusan dan siapkan bahan</x:v>
      </x:c>
      <x:c r="C26" s="7" t="str">
        <x:v>Kunci perilaku salin menu kemarin: pilihan item, tinjauan biaya, konfirmasi, dan apakah beberapa item diproses sekaligus.</x:v>
      </x:c>
      <x:c r="D26" s="6" t="str">
        <x:v>Belum</x:v>
      </x:c>
    </x:row>
    <x:row r="27" ht="32" customHeight="1">
      <x:c r="A27" s="6" t="n">
        <x:v>26</x:v>
      </x:c>
      <x:c r="B27" s="6" t="str">
        <x:v>Fase 3. Tutup keputusan dan siapkan bahan</x:v>
      </x:c>
      <x:c r="C27" s="7" t="str">
        <x:v>Kunci pengelompokan meja harian: satu pembayaran tetap satu catatan, tetapi atur cara beberapa makanan tampil sebagai satu sesi makan.</x:v>
      </x:c>
      <x:c r="D27" s="6" t="str">
        <x:v>Belum</x:v>
      </x:c>
    </x:row>
    <x:row r="28" ht="32" customHeight="1">
      <x:c r="A28" s="6" t="n">
        <x:v>27</x:v>
      </x:c>
      <x:c r="B28" s="6" t="str">
        <x:v>Fase 3. Tutup keputusan dan siapkan bahan</x:v>
      </x:c>
      <x:c r="C28" s="7" t="str">
        <x:v>Kunci batas input dan pembulatan: kalori, jumlah, ½×, 2×, energi pecahan, serta angka makanan buatan pengguna.</x:v>
      </x:c>
      <x:c r="D28" s="6" t="str">
        <x:v>Belum</x:v>
      </x:c>
    </x:row>
    <x:row r="29" ht="32" customHeight="1">
      <x:c r="A29" s="6" t="n">
        <x:v>28</x:v>
      </x:c>
      <x:c r="B29" s="6" t="str">
        <x:v>Fase 3. Tutup keputusan dan siapkan bahan</x:v>
      </x:c>
      <x:c r="C29" s="7" t="str">
        <x:v>Buat katalog awal dari sumber gizi yang dapat ditelusuri; pisahkan nilai per 100 gram dari porsi siap pakai.</x:v>
      </x:c>
      <x:c r="D29" s="6" t="str">
        <x:v>Selesai</x:v>
      </x:c>
    </x:row>
    <x:row r="30" ht="32" customHeight="1">
      <x:c r="A30" s="6" t="n">
        <x:v>29</x:v>
      </x:c>
      <x:c r="B30" s="6" t="str">
        <x:v>Fase 3. Tutup keputusan dan siapkan bahan</x:v>
      </x:c>
      <x:c r="C30" s="7" t="str">
        <x:v>Audit katalog: nama, alias lokal, satuan, acuan porsi, kalori tiap ukuran, sumber estimasi, duplikat, dan hak penggunaan data.</x:v>
      </x:c>
      <x:c r="D30" s="6" t="str">
        <x:v>Belum</x:v>
      </x:c>
    </x:row>
    <x:row r="31" ht="32" customHeight="1">
      <x:c r="A31" s="6" t="n">
        <x:v>30</x:v>
      </x:c>
      <x:c r="B31" s="6" t="str">
        <x:v>Fase 3. Tutup keputusan dan siapkan bahan</x:v>
      </x:c>
      <x:c r="C31" s="7" t="str">
        <x:v>Petakan makanan awal ke 10 kios; tentukan asal netral untuk makanan buatan pengguna.</x:v>
      </x:c>
      <x:c r="D31" s="6" t="str">
        <x:v>Belum</x:v>
      </x:c>
    </x:row>
    <x:row r="32" ht="32" customHeight="1">
      <x:c r="A32" s="6" t="n">
        <x:v>31</x:v>
      </x:c>
      <x:c r="B32" s="6" t="str">
        <x:v>Fase 3. Tutup keputusan dan siapkan bahan</x:v>
      </x:c>
      <x:c r="C32" s="7" t="str">
        <x:v>Siapkan ilustrasi/acuan porsi untuk makanan prioritas. Jika gambar belum ada, teks porsi tetap harus cukup jelas untuk mencatat.</x:v>
      </x:c>
      <x:c r="D32" s="6" t="str">
        <x:v>Belum</x:v>
      </x:c>
    </x:row>
    <x:row r="33" ht="32" customHeight="1">
      <x:c r="A33" s="6" t="n">
        <x:v>32</x:v>
      </x:c>
      <x:c r="B33" s="6" t="str">
        <x:v>Fase 3. Tutup keputusan dan siapkan bahan</x:v>
      </x:c>
      <x:c r="C33" s="7" t="str">
        <x:v>Ubah referensi isometrik menjadi aset interaktif: layer kios, meja, kurir, rute, dan area sentuh. PNG terpilih belum bisa langsung dipakai sebagai peta interaktif.</x:v>
      </x:c>
      <x:c r="D33" s="6" t="str">
        <x:v>Belum</x:v>
      </x:c>
    </x:row>
    <x:row r="34" ht="32" customHeight="1">
      <x:c r="A34" s="6" t="n">
        <x:v>33</x:v>
      </x:c>
      <x:c r="B34" s="6" t="str">
        <x:v>Fase 4. Fondasi aplikasi lokal</x:v>
      </x:c>
      <x:c r="C34" s="7" t="str">
        <x:v>Siapkan Node.js LTS yang kompatibel, package manager, dan Git; verifikasi versinya di Terminal.</x:v>
      </x:c>
      <x:c r="D34" s="6" t="str">
        <x:v>Belum</x:v>
      </x:c>
    </x:row>
    <x:row r="35" ht="32" customHeight="1">
      <x:c r="A35" s="6" t="n">
        <x:v>34</x:v>
      </x:c>
      <x:c r="B35" s="6" t="str">
        <x:v>Fase 4. Fondasi aplikasi lokal</x:v>
      </x:c>
      <x:c r="C35" s="7" t="str">
        <x:v>Inisialisasi proyek web dengan `package.json`, skrip `dev`, `build`, `test`, `.gitignore`, dan README.</x:v>
      </x:c>
      <x:c r="D35" s="6" t="str">
        <x:v>Belum</x:v>
      </x:c>
    </x:row>
    <x:row r="36" ht="32" customHeight="1">
      <x:c r="A36" s="6" t="n">
        <x:v>35</x:v>
      </x:c>
      <x:c r="B36" s="6" t="str">
        <x:v>Fase 4. Fondasi aplikasi lokal</x:v>
      </x:c>
      <x:c r="C36" s="7" t="str">
        <x:v>Buat skema dan migrasi untuk profil, anggaran per tanggal, katalog, porsi, makanan pengguna, catatan makan, serta kunci idempotensi.</x:v>
      </x:c>
      <x:c r="D36" s="6" t="str">
        <x:v>Belum</x:v>
      </x:c>
    </x:row>
    <x:row r="37" ht="32" customHeight="1">
      <x:c r="A37" s="6" t="n">
        <x:v>36</x:v>
      </x:c>
      <x:c r="B37" s="6" t="str">
        <x:v>Fase 4. Fondasi aplikasi lokal</x:v>
      </x:c>
      <x:c r="C37" s="7" t="str">
        <x:v>Buat proses impor/seed katalog yang aman dijalankan ulang tanpa menduplikasi makanan.</x:v>
      </x:c>
      <x:c r="D37" s="6" t="str">
        <x:v>Belum</x:v>
      </x:c>
    </x:row>
    <x:row r="38" ht="32" customHeight="1">
      <x:c r="A38" s="6" t="n">
        <x:v>37</x:v>
      </x:c>
      <x:c r="B38" s="6" t="str">
        <x:v>Fase 4. Fondasi aplikasi lokal</x:v>
      </x:c>
      <x:c r="C38" s="7" t="str">
        <x:v>Siapkan konfigurasi lokal dan contoh environment; data lokal dan rahasia tidak masuk Git.</x:v>
      </x:c>
      <x:c r="D38" s="6" t="str">
        <x:v>Belum</x:v>
      </x:c>
    </x:row>
    <x:row r="39" ht="32" customHeight="1">
      <x:c r="A39" s="6" t="n">
        <x:v>38</x:v>
      </x:c>
      <x:c r="B39" s="6" t="str">
        <x:v>Fase 4. Fondasi aplikasi lokal</x:v>
      </x:c>
      <x:c r="C39" s="7" t="str">
        <x:v>Buat halaman awal dan buktikan server bisa dibuka lewat URL localhost dari browser desktop.</x:v>
      </x:c>
      <x:c r="D39" s="6" t="str">
        <x:v>Belum</x:v>
      </x:c>
    </x:row>
    <x:row r="40" ht="32" customHeight="1">
      <x:c r="A40" s="6" t="n">
        <x:v>39</x:v>
      </x:c>
      <x:c r="B40" s="6" t="str">
        <x:v>Fase 4. Fondasi aplikasi lokal</x:v>
      </x:c>
      <x:c r="C40" s="7" t="str">
        <x:v>Dokumentasikan langkah instalasi, migrasi, seed, menjalankan server, dan reset data di README; uji dari direktori baru.</x:v>
      </x:c>
      <x:c r="D40" s="6" t="str">
        <x:v>Belum</x:v>
      </x:c>
    </x:row>
    <x:row r="41" ht="32" customHeight="1">
      <x:c r="A41" s="6" t="n">
        <x:v>40</x:v>
      </x:c>
      <x:c r="B41" s="6" t="str">
        <x:v>Fase 5. Alur pencatatan dan foodcourt</x:v>
      </x:c>
      <x:c r="C41" s="7" t="str">
        <x:v>Bangun onboarding profil dan hasil anggaran dengan validasi yang jelas.</x:v>
      </x:c>
      <x:c r="D41" s="6" t="str">
        <x:v>Belum</x:v>
      </x:c>
    </x:row>
    <x:row r="42" ht="32" customHeight="1">
      <x:c r="A42" s="6" t="n">
        <x:v>41</x:v>
      </x:c>
      <x:c r="B42" s="6" t="str">
        <x:v>Fase 5. Alur pencatatan dan foodcourt</x:v>
      </x:c>
      <x:c r="C42" s="7" t="str">
        <x:v>Bangun dompet harian dari anggaran dikurangi seluruh catatan tersimpan pada tanggal tersebut; jangan simpan saldo terpisah yang mudah melenceng.</x:v>
      </x:c>
      <x:c r="D42" s="6" t="str">
        <x:v>Belum</x:v>
      </x:c>
    </x:row>
    <x:row r="43" ht="32" customHeight="1">
      <x:c r="A43" s="6" t="n">
        <x:v>42</x:v>
      </x:c>
      <x:c r="B43" s="6" t="str">
        <x:v>Fase 5. Alur pencatatan dan foodcourt</x:v>
      </x:c>
      <x:c r="C43" s="7" t="str">
        <x:v>Bangun pencarian nama/alias makanan, keadaan kosong/gagal, rekomendasi serupa, dan jalur membuat makanan sendiri.</x:v>
      </x:c>
      <x:c r="D43" s="6" t="str">
        <x:v>Belum</x:v>
      </x:c>
    </x:row>
    <x:row r="44" ht="32" customHeight="1">
      <x:c r="A44" s="6" t="n">
        <x:v>43</x:v>
      </x:c>
      <x:c r="B44" s="6" t="str">
        <x:v>Fase 5. Alur pencatatan dan foodcourt</x:v>
      </x:c>
      <x:c r="C44" s="7" t="str">
        <x:v>Bangun detail porsi kecil/sedang/besar serta ½×, 1×, 2×; biaya Bayar berubah sebelum konfirmasi tanpa mengurangi dompet.</x:v>
      </x:c>
      <x:c r="D44" s="6" t="str">
        <x:v>Belum</x:v>
      </x:c>
    </x:row>
    <x:row r="45" ht="32" customHeight="1">
      <x:c r="A45" s="6" t="n">
        <x:v>44</x:v>
      </x:c>
      <x:c r="B45" s="6" t="str">
        <x:v>Fase 5. Alur pencatatan dan foodcourt</x:v>
      </x:c>
      <x:c r="C45" s="7" t="str">
        <x:v>Bangun tindakan Bayar untuk satu makanan dengan snapshot kalori, konfirmasi, dan perlindungan klik ganda/retry.</x:v>
      </x:c>
      <x:c r="D45" s="6" t="str">
        <x:v>Belum</x:v>
      </x:c>
    </x:row>
    <x:row r="46" ht="32" customHeight="1">
      <x:c r="A46" s="6" t="n">
        <x:v>45</x:v>
      </x:c>
      <x:c r="B46" s="6" t="str">
        <x:v>Fase 5. Alur pencatatan dan foodcourt</x:v>
      </x:c>
      <x:c r="C46" s="7" t="str">
        <x:v>Bangun meja harian dan riwayat per tanggal, termasuk jam, label makan, serta keadaan kosong.</x:v>
      </x:c>
      <x:c r="D46" s="6" t="str">
        <x:v>Belum</x:v>
      </x:c>
    </x:row>
    <x:row r="47" ht="32" customHeight="1">
      <x:c r="A47" s="6" t="n">
        <x:v>46</x:v>
      </x:c>
      <x:c r="B47" s="6" t="str">
        <x:v>Fase 5. Alur pencatatan dan foodcourt</x:v>
      </x:c>
      <x:c r="C47" s="7" t="str">
        <x:v>Bangun edit, hapus, salin menu kemarin, dan makanan buatan pengguna; semua perubahan menghitung ulang dompet dengan benar.</x:v>
      </x:c>
      <x:c r="D47" s="6" t="str">
        <x:v>Belum</x:v>
      </x:c>
    </x:row>
    <x:row r="48" ht="32" customHeight="1">
      <x:c r="A48" s="6" t="n">
        <x:v>47</x:v>
      </x:c>
      <x:c r="B48" s="6" t="str">
        <x:v>Fase 5. Alur pencatatan dan foodcourt</x:v>
      </x:c>
      <x:c r="C48" s="7" t="str">
        <x:v>Bangun layout HP dengan pencarian dan dompet ringkas sehingga isometrik tetap menjadi fokus.</x:v>
      </x:c>
      <x:c r="D48" s="6" t="str">
        <x:v>Belum</x:v>
      </x:c>
    </x:row>
    <x:row r="49" ht="32" customHeight="1">
      <x:c r="A49" s="6" t="n">
        <x:v>48</x:v>
      </x:c>
      <x:c r="B49" s="6" t="str">
        <x:v>Fase 5. Alur pencatatan dan foodcourt</x:v>
      </x:c>
      <x:c r="C49" s="7" t="str">
        <x:v>Jadikan 10 kios dapat digeser/diketuk dan hubungkan hasil pencarian dengan “Lihat kios”; sediakan daftar alternatif yang dapat diakses tanpa peta.</x:v>
      </x:c>
      <x:c r="D49" s="6" t="str">
        <x:v>Belum</x:v>
      </x:c>
    </x:row>
    <x:row r="50" ht="32" customHeight="1">
      <x:c r="A50" s="6" t="n">
        <x:v>49</x:v>
      </x:c>
      <x:c r="B50" s="6" t="str">
        <x:v>Fase 5. Alur pencatatan dan foodcourt</x:v>
      </x:c>
      <x:c r="C50" s="7" t="str">
        <x:v>Setelah simpan sukses, animasikan kalori keluar dari dompet dan kurir dari kios ke meja; sediakan skip/reduced motion dan pastikan makanan tetap muncul jika animasi terputus.</x:v>
      </x:c>
      <x:c r="D50" s="6" t="str">
        <x:v>Belum</x:v>
      </x:c>
    </x:row>
    <x:row r="51" ht="32" customHeight="1">
      <x:c r="A51" s="6" t="n">
        <x:v>50</x:v>
      </x:c>
      <x:c r="B51" s="6" t="str">
        <x:v>Fase 6. Uji dan serah terima lokal</x:v>
      </x:c>
      <x:c r="C51" s="7" t="str">
        <x:v>Uji saldo, porsi, lewat anggaran, edit, hapus, serta perpindahan tanggal dengan data contoh yang hasilnya sudah dihitung.</x:v>
      </x:c>
      <x:c r="D51" s="6" t="str">
        <x:v>Belum</x:v>
      </x:c>
    </x:row>
    <x:row r="52" ht="32" customHeight="1">
      <x:c r="A52" s="6" t="n">
        <x:v>51</x:v>
      </x:c>
      <x:c r="B52" s="6" t="str">
        <x:v>Fase 6. Uji dan serah terima lokal</x:v>
      </x:c>
      <x:c r="C52" s="7" t="str">
        <x:v>Uji ketuk ganda, respons hilang, gagal simpan, dan refresh; tidak boleh ada catatan atau pengurangan dompet ganda.</x:v>
      </x:c>
      <x:c r="D52" s="6" t="str">
        <x:v>Belum</x:v>
      </x:c>
    </x:row>
    <x:row r="53" ht="32" customHeight="1">
      <x:c r="A53" s="6" t="n">
        <x:v>52</x:v>
      </x:c>
      <x:c r="B53" s="6" t="str">
        <x:v>Fase 6. Uji dan serah terima lokal</x:v>
      </x:c>
      <x:c r="C53" s="7" t="str">
        <x:v>Jalankan kasus UAT P0/P1 yang relevan dan catat hasil/bukti; selesaikan masalah yang menghalangi alur inti.</x:v>
      </x:c>
      <x:c r="D53" s="6" t="str">
        <x:v>Belum</x:v>
      </x:c>
    </x:row>
    <x:row r="54" ht="32" customHeight="1">
      <x:c r="A54" s="6" t="n">
        <x:v>53</x:v>
      </x:c>
      <x:c r="B54" s="6" t="str">
        <x:v>Fase 6. Uji dan serah terima lokal</x:v>
      </x:c>
      <x:c r="C54" s="7" t="str">
        <x:v>Uji lebar HP 360 px, keyboard/pembaca layar, aset gagal muat, dan reduced motion; alur pencatatan tetap bisa selesai.</x:v>
      </x:c>
      <x:c r="D54" s="6" t="str">
        <x:v>Belum</x:v>
      </x:c>
    </x:row>
    <x:row r="55" ht="32" customHeight="1">
      <x:c r="A55" s="6" t="n">
        <x:v>54</x:v>
      </x:c>
      <x:c r="B55" s="6" t="str">
        <x:v>Fase 6. Uji dan serah terima lokal</x:v>
      </x:c>
      <x:c r="C55" s="7" t="str">
        <x:v>Jalankan `npm run build`, buka hasilnya secara lokal, lalu ulangi alur inti dari instalasi bersih sampai catatan bertahan setelah refresh.</x:v>
      </x:c>
      <x:c r="D55" s="6" t="str">
        <x:v>Belum</x:v>
      </x:c>
    </x:row>
  </x:sheetData>
  <x:conditionalFormatting sqref="D2:D55">
    <x:cfRule type="containsText" dxfId="0" priority="1" operator="containsText" text="Selesai"/>
    <x:cfRule type="containsText" dxfId="1" priority="2" operator="containsText" text="Belum"/>
  </x:conditionalFormatting>
  <x:dataValidations count="1">
    <x:dataValidation type="list" sqref="D2:D55">
      <x:formula1>"Selesai,Belum"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07f4e66f744c3e"/>
  </x:tableParts>
</x:worksheet>
</file>